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cheat_sheets\1_lessons\code_institute\UDP5WA4CF-UN03_back_end_development\"/>
    </mc:Choice>
  </mc:AlternateContent>
  <xr:revisionPtr revIDLastSave="0" documentId="13_ncr:1_{A2B764A4-E593-46D7-B5B2-7EDDCCE444EB}" xr6:coauthVersionLast="47" xr6:coauthVersionMax="47" xr10:uidLastSave="{00000000-0000-0000-0000-000000000000}"/>
  <bookViews>
    <workbookView xWindow="0" yWindow="360" windowWidth="29040" windowHeight="15720" activeTab="1" xr2:uid="{C62C3A13-8B1D-4627-A4E5-0D3E0B3409FC}"/>
  </bookViews>
  <sheets>
    <sheet name="original_copy-paste_sample" sheetId="1" r:id="rId1"/>
    <sheet name="reformat" sheetId="2" r:id="rId2"/>
    <sheet name="pivot_type" sheetId="3" r:id="rId3"/>
    <sheet name="pivot_time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J2" i="2"/>
  <c r="I2" i="2"/>
</calcChain>
</file>

<file path=xl/sharedStrings.xml><?xml version="1.0" encoding="utf-8"?>
<sst xmlns="http://schemas.openxmlformats.org/spreadsheetml/2006/main" count="288" uniqueCount="61">
  <si>
    <t>PILA3</t>
  </si>
  <si>
    <t>AB</t>
  </si>
  <si>
    <t>Resit</t>
  </si>
  <si>
    <t>Total</t>
  </si>
  <si>
    <t>Item Difficulty</t>
  </si>
  <si>
    <t>Avg Mark</t>
  </si>
  <si>
    <t>Avg% of Mark</t>
  </si>
  <si>
    <t>LO1 MC1</t>
  </si>
  <si>
    <t>A</t>
  </si>
  <si>
    <t>B</t>
  </si>
  <si>
    <t>C</t>
  </si>
  <si>
    <t>D</t>
  </si>
  <si>
    <t>E</t>
  </si>
  <si>
    <t>LO1 TF1</t>
  </si>
  <si>
    <t>LO2 MTC1</t>
  </si>
  <si>
    <t>LO2 D&amp;D1</t>
  </si>
  <si>
    <t>WRONG ANSWERS CAN BE BC OF PLACEMENT</t>
  </si>
  <si>
    <t>LO3 DIA1</t>
  </si>
  <si>
    <t>Male</t>
  </si>
  <si>
    <t>Female</t>
  </si>
  <si>
    <t>LO4 MW1</t>
  </si>
  <si>
    <t>F</t>
  </si>
  <si>
    <t>G</t>
  </si>
  <si>
    <t>H</t>
  </si>
  <si>
    <t>I</t>
  </si>
  <si>
    <t>J</t>
  </si>
  <si>
    <t>K</t>
  </si>
  <si>
    <t>L</t>
  </si>
  <si>
    <t>M</t>
  </si>
  <si>
    <t>N</t>
  </si>
  <si>
    <t>test_type</t>
  </si>
  <si>
    <t>question_type</t>
  </si>
  <si>
    <t>answer_options</t>
  </si>
  <si>
    <t>test_date</t>
  </si>
  <si>
    <t>MC</t>
  </si>
  <si>
    <t>TF</t>
  </si>
  <si>
    <t>test</t>
  </si>
  <si>
    <t>resit</t>
  </si>
  <si>
    <t>correct_choice_frequency</t>
  </si>
  <si>
    <t>incorrect_choice_frequency</t>
  </si>
  <si>
    <t>TOTAL N</t>
  </si>
  <si>
    <t>MTC</t>
  </si>
  <si>
    <t>D&amp;D</t>
  </si>
  <si>
    <t>DIA</t>
  </si>
  <si>
    <t>MW</t>
  </si>
  <si>
    <t>participant_number</t>
  </si>
  <si>
    <t>correct_choice_percentage</t>
  </si>
  <si>
    <t>incorrect_choice_percentage</t>
  </si>
  <si>
    <t>Row Labels</t>
  </si>
  <si>
    <t>(blank)</t>
  </si>
  <si>
    <t>Grand Total</t>
  </si>
  <si>
    <t>Average of correct_choice_percentage</t>
  </si>
  <si>
    <t>Average of incorrect_choice_percentage</t>
  </si>
  <si>
    <t>&lt;01/01/2025</t>
  </si>
  <si>
    <t>Jan</t>
  </si>
  <si>
    <t>Mar</t>
  </si>
  <si>
    <t>May</t>
  </si>
  <si>
    <t>Jul</t>
  </si>
  <si>
    <t>Sep</t>
  </si>
  <si>
    <t>Oct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</si>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</sst>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charset val="128"/>
    </font>
    <font>
      <sz val="12"/>
      <name val="Calibri"/>
      <family val="2"/>
    </font>
    <font>
      <b/>
      <sz val="12"/>
      <color rgb="FF0000FF"/>
      <name val="Calibri"/>
      <family val="2"/>
    </font>
    <font>
      <b/>
      <sz val="12"/>
      <color rgb="FF008000"/>
      <name val="Calibri"/>
      <family val="2"/>
    </font>
    <font>
      <sz val="12"/>
      <color rgb="FF000000"/>
      <name val="Calibri"/>
      <family val="2"/>
      <charset val="128"/>
    </font>
    <font>
      <sz val="12"/>
      <color rgb="FF000000"/>
      <name val="Calibri"/>
      <family val="2"/>
    </font>
    <font>
      <b/>
      <sz val="12"/>
      <color rgb="FF0070C0"/>
      <name val="Calibri"/>
      <family val="2"/>
    </font>
    <font>
      <b/>
      <sz val="12"/>
      <color rgb="FF00B0F0"/>
      <name val="Calibri"/>
      <family val="2"/>
    </font>
    <font>
      <sz val="12"/>
      <color rgb="FF008000"/>
      <name val="Calibri"/>
      <family val="2"/>
    </font>
    <font>
      <b/>
      <sz val="12"/>
      <name val="Calibri"/>
      <family val="2"/>
    </font>
    <font>
      <sz val="12"/>
      <color rgb="FF008000"/>
      <name val="Calibri"/>
      <family val="2"/>
      <charset val="128"/>
    </font>
    <font>
      <b/>
      <sz val="12"/>
      <color rgb="FFFF6600"/>
      <name val="Calibri"/>
      <family val="2"/>
    </font>
    <font>
      <sz val="12"/>
      <color rgb="FFFF6600"/>
      <name val="Calibri"/>
      <family val="2"/>
    </font>
    <font>
      <b/>
      <sz val="11"/>
      <color rgb="FF3F3F76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E4BC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229B31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ash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ashed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ashed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5">
    <xf numFmtId="0" fontId="0" fillId="0" borderId="0" xfId="0"/>
    <xf numFmtId="0" fontId="18" fillId="0" borderId="10" xfId="0" applyFont="1" applyBorder="1"/>
    <xf numFmtId="17" fontId="0" fillId="0" borderId="0" xfId="0" applyNumberFormat="1"/>
    <xf numFmtId="17" fontId="18" fillId="33" borderId="11" xfId="0" applyNumberFormat="1" applyFont="1" applyFill="1" applyBorder="1"/>
    <xf numFmtId="0" fontId="18" fillId="34" borderId="0" xfId="0" applyFont="1" applyFill="1"/>
    <xf numFmtId="0" fontId="18" fillId="33" borderId="12" xfId="0" applyFont="1" applyFill="1" applyBorder="1"/>
    <xf numFmtId="17" fontId="18" fillId="35" borderId="11" xfId="0" applyNumberFormat="1" applyFont="1" applyFill="1" applyBorder="1"/>
    <xf numFmtId="0" fontId="18" fillId="36" borderId="0" xfId="0" applyFont="1" applyFill="1"/>
    <xf numFmtId="0" fontId="18" fillId="35" borderId="12" xfId="0" applyFont="1" applyFill="1" applyBorder="1"/>
    <xf numFmtId="0" fontId="18" fillId="34" borderId="12" xfId="0" applyFont="1" applyFill="1" applyBorder="1"/>
    <xf numFmtId="0" fontId="18" fillId="37" borderId="0" xfId="0" applyFont="1" applyFill="1"/>
    <xf numFmtId="0" fontId="20" fillId="38" borderId="13" xfId="0" applyFont="1" applyFill="1" applyBorder="1"/>
    <xf numFmtId="0" fontId="20" fillId="38" borderId="0" xfId="0" applyFont="1" applyFill="1"/>
    <xf numFmtId="0" fontId="21" fillId="38" borderId="14" xfId="0" applyFont="1" applyFill="1" applyBorder="1" applyAlignment="1">
      <alignment horizontal="center"/>
    </xf>
    <xf numFmtId="0" fontId="18" fillId="0" borderId="15" xfId="0" applyFont="1" applyBorder="1"/>
    <xf numFmtId="0" fontId="18" fillId="39" borderId="16" xfId="0" applyFont="1" applyFill="1" applyBorder="1" applyAlignment="1">
      <alignment horizontal="left"/>
    </xf>
    <xf numFmtId="0" fontId="18" fillId="39" borderId="17" xfId="0" applyFont="1" applyFill="1" applyBorder="1" applyAlignment="1">
      <alignment horizontal="left"/>
    </xf>
    <xf numFmtId="0" fontId="18" fillId="39" borderId="18" xfId="0" applyFont="1" applyFill="1" applyBorder="1" applyAlignment="1">
      <alignment horizontal="left"/>
    </xf>
    <xf numFmtId="0" fontId="22" fillId="39" borderId="16" xfId="0" applyFont="1" applyFill="1" applyBorder="1" applyAlignment="1">
      <alignment horizontal="left"/>
    </xf>
    <xf numFmtId="0" fontId="18" fillId="33" borderId="16" xfId="0" applyFont="1" applyFill="1" applyBorder="1" applyAlignment="1">
      <alignment horizontal="left"/>
    </xf>
    <xf numFmtId="0" fontId="18" fillId="34" borderId="17" xfId="0" applyFont="1" applyFill="1" applyBorder="1" applyAlignment="1">
      <alignment horizontal="left"/>
    </xf>
    <xf numFmtId="0" fontId="18" fillId="39" borderId="16" xfId="0" applyFont="1" applyFill="1" applyBorder="1"/>
    <xf numFmtId="0" fontId="18" fillId="39" borderId="17" xfId="0" applyFont="1" applyFill="1" applyBorder="1"/>
    <xf numFmtId="0" fontId="19" fillId="33" borderId="16" xfId="0" applyFont="1" applyFill="1" applyBorder="1" applyAlignment="1">
      <alignment horizontal="left"/>
    </xf>
    <xf numFmtId="0" fontId="19" fillId="34" borderId="17" xfId="0" applyFont="1" applyFill="1" applyBorder="1" applyAlignment="1">
      <alignment horizontal="left"/>
    </xf>
    <xf numFmtId="0" fontId="19" fillId="40" borderId="18" xfId="0" applyFont="1" applyFill="1" applyBorder="1" applyAlignment="1">
      <alignment horizontal="left"/>
    </xf>
    <xf numFmtId="0" fontId="19" fillId="40" borderId="17" xfId="0" applyFont="1" applyFill="1" applyBorder="1" applyAlignment="1">
      <alignment horizontal="left"/>
    </xf>
    <xf numFmtId="0" fontId="18" fillId="35" borderId="16" xfId="0" applyFont="1" applyFill="1" applyBorder="1"/>
    <xf numFmtId="0" fontId="18" fillId="36" borderId="17" xfId="0" applyFont="1" applyFill="1" applyBorder="1"/>
    <xf numFmtId="0" fontId="18" fillId="40" borderId="18" xfId="0" applyFont="1" applyFill="1" applyBorder="1"/>
    <xf numFmtId="0" fontId="18" fillId="40" borderId="17" xfId="0" applyFont="1" applyFill="1" applyBorder="1"/>
    <xf numFmtId="0" fontId="18" fillId="39" borderId="18" xfId="0" applyFont="1" applyFill="1" applyBorder="1"/>
    <xf numFmtId="0" fontId="20" fillId="38" borderId="17" xfId="0" applyFont="1" applyFill="1" applyBorder="1"/>
    <xf numFmtId="0" fontId="21" fillId="38" borderId="17" xfId="0" applyFont="1" applyFill="1" applyBorder="1" applyAlignment="1">
      <alignment horizontal="center"/>
    </xf>
    <xf numFmtId="10" fontId="21" fillId="38" borderId="17" xfId="0" applyNumberFormat="1" applyFont="1" applyFill="1" applyBorder="1" applyAlignment="1">
      <alignment horizontal="center"/>
    </xf>
    <xf numFmtId="0" fontId="18" fillId="0" borderId="20" xfId="0" applyFont="1" applyBorder="1"/>
    <xf numFmtId="0" fontId="18" fillId="39" borderId="11" xfId="0" applyFont="1" applyFill="1" applyBorder="1"/>
    <xf numFmtId="0" fontId="18" fillId="39" borderId="0" xfId="0" applyFont="1" applyFill="1"/>
    <xf numFmtId="0" fontId="18" fillId="39" borderId="12" xfId="0" applyFont="1" applyFill="1" applyBorder="1"/>
    <xf numFmtId="0" fontId="18" fillId="33" borderId="11" xfId="0" applyFont="1" applyFill="1" applyBorder="1"/>
    <xf numFmtId="0" fontId="23" fillId="33" borderId="11" xfId="0" applyFont="1" applyFill="1" applyBorder="1"/>
    <xf numFmtId="0" fontId="23" fillId="34" borderId="0" xfId="0" applyFont="1" applyFill="1"/>
    <xf numFmtId="0" fontId="23" fillId="40" borderId="12" xfId="0" applyFont="1" applyFill="1" applyBorder="1"/>
    <xf numFmtId="0" fontId="23" fillId="40" borderId="0" xfId="0" applyFont="1" applyFill="1"/>
    <xf numFmtId="0" fontId="18" fillId="35" borderId="11" xfId="0" applyFont="1" applyFill="1" applyBorder="1"/>
    <xf numFmtId="0" fontId="18" fillId="40" borderId="12" xfId="0" applyFont="1" applyFill="1" applyBorder="1"/>
    <xf numFmtId="0" fontId="18" fillId="40" borderId="0" xfId="0" applyFont="1" applyFill="1"/>
    <xf numFmtId="0" fontId="21" fillId="38" borderId="0" xfId="0" applyFont="1" applyFill="1" applyAlignment="1">
      <alignment horizontal="center"/>
    </xf>
    <xf numFmtId="0" fontId="24" fillId="36" borderId="0" xfId="0" applyFont="1" applyFill="1"/>
    <xf numFmtId="0" fontId="24" fillId="39" borderId="0" xfId="0" applyFont="1" applyFill="1"/>
    <xf numFmtId="0" fontId="23" fillId="39" borderId="0" xfId="0" applyFont="1" applyFill="1"/>
    <xf numFmtId="0" fontId="23" fillId="39" borderId="12" xfId="0" applyFont="1" applyFill="1" applyBorder="1"/>
    <xf numFmtId="0" fontId="24" fillId="35" borderId="11" xfId="0" applyFont="1" applyFill="1" applyBorder="1"/>
    <xf numFmtId="0" fontId="24" fillId="40" borderId="12" xfId="0" applyFont="1" applyFill="1" applyBorder="1"/>
    <xf numFmtId="0" fontId="24" fillId="40" borderId="0" xfId="0" applyFont="1" applyFill="1"/>
    <xf numFmtId="0" fontId="24" fillId="39" borderId="11" xfId="0" applyFont="1" applyFill="1" applyBorder="1"/>
    <xf numFmtId="0" fontId="24" fillId="39" borderId="12" xfId="0" applyFont="1" applyFill="1" applyBorder="1"/>
    <xf numFmtId="0" fontId="18" fillId="41" borderId="20" xfId="0" applyFont="1" applyFill="1" applyBorder="1"/>
    <xf numFmtId="0" fontId="23" fillId="39" borderId="11" xfId="0" applyFont="1" applyFill="1" applyBorder="1"/>
    <xf numFmtId="0" fontId="24" fillId="33" borderId="11" xfId="0" applyFont="1" applyFill="1" applyBorder="1"/>
    <xf numFmtId="0" fontId="20" fillId="38" borderId="0" xfId="0" applyFont="1" applyFill="1" applyAlignment="1">
      <alignment horizontal="right"/>
    </xf>
    <xf numFmtId="0" fontId="19" fillId="40" borderId="16" xfId="0" applyFont="1" applyFill="1" applyBorder="1" applyAlignment="1">
      <alignment horizontal="left"/>
    </xf>
    <xf numFmtId="0" fontId="18" fillId="40" borderId="16" xfId="0" applyFont="1" applyFill="1" applyBorder="1" applyAlignment="1">
      <alignment horizontal="left"/>
    </xf>
    <xf numFmtId="0" fontId="18" fillId="40" borderId="17" xfId="0" applyFont="1" applyFill="1" applyBorder="1" applyAlignment="1">
      <alignment horizontal="left"/>
    </xf>
    <xf numFmtId="0" fontId="18" fillId="40" borderId="18" xfId="0" applyFont="1" applyFill="1" applyBorder="1" applyAlignment="1">
      <alignment horizontal="left"/>
    </xf>
    <xf numFmtId="0" fontId="18" fillId="33" borderId="18" xfId="0" applyFont="1" applyFill="1" applyBorder="1" applyAlignment="1">
      <alignment horizontal="left"/>
    </xf>
    <xf numFmtId="0" fontId="25" fillId="38" borderId="17" xfId="0" applyFont="1" applyFill="1" applyBorder="1" applyAlignment="1">
      <alignment horizontal="right"/>
    </xf>
    <xf numFmtId="10" fontId="26" fillId="38" borderId="17" xfId="0" applyNumberFormat="1" applyFont="1" applyFill="1" applyBorder="1" applyAlignment="1">
      <alignment horizontal="right"/>
    </xf>
    <xf numFmtId="0" fontId="18" fillId="42" borderId="20" xfId="0" applyFont="1" applyFill="1" applyBorder="1"/>
    <xf numFmtId="0" fontId="23" fillId="40" borderId="11" xfId="0" applyFont="1" applyFill="1" applyBorder="1"/>
    <xf numFmtId="0" fontId="23" fillId="33" borderId="12" xfId="0" applyFont="1" applyFill="1" applyBorder="1"/>
    <xf numFmtId="0" fontId="23" fillId="37" borderId="0" xfId="0" applyFont="1" applyFill="1"/>
    <xf numFmtId="0" fontId="21" fillId="38" borderId="0" xfId="0" applyFont="1" applyFill="1" applyAlignment="1">
      <alignment horizontal="right"/>
    </xf>
    <xf numFmtId="0" fontId="18" fillId="0" borderId="24" xfId="0" applyFont="1" applyBorder="1"/>
    <xf numFmtId="0" fontId="21" fillId="38" borderId="25" xfId="0" applyFont="1" applyFill="1" applyBorder="1" applyAlignment="1">
      <alignment horizontal="right"/>
    </xf>
    <xf numFmtId="0" fontId="22" fillId="33" borderId="16" xfId="0" applyFont="1" applyFill="1" applyBorder="1" applyAlignment="1">
      <alignment horizontal="left"/>
    </xf>
    <xf numFmtId="0" fontId="27" fillId="34" borderId="17" xfId="0" applyFont="1" applyFill="1" applyBorder="1" applyAlignment="1">
      <alignment horizontal="left"/>
    </xf>
    <xf numFmtId="0" fontId="27" fillId="40" borderId="18" xfId="0" applyFont="1" applyFill="1" applyBorder="1" applyAlignment="1">
      <alignment horizontal="left"/>
    </xf>
    <xf numFmtId="0" fontId="22" fillId="40" borderId="16" xfId="0" applyFont="1" applyFill="1" applyBorder="1" applyAlignment="1">
      <alignment horizontal="left"/>
    </xf>
    <xf numFmtId="0" fontId="27" fillId="40" borderId="17" xfId="0" applyFont="1" applyFill="1" applyBorder="1" applyAlignment="1">
      <alignment horizontal="left"/>
    </xf>
    <xf numFmtId="0" fontId="28" fillId="35" borderId="18" xfId="0" applyFont="1" applyFill="1" applyBorder="1" applyAlignment="1">
      <alignment horizontal="left"/>
    </xf>
    <xf numFmtId="0" fontId="27" fillId="36" borderId="17" xfId="0" applyFont="1" applyFill="1" applyBorder="1" applyAlignment="1">
      <alignment horizontal="left"/>
    </xf>
    <xf numFmtId="0" fontId="27" fillId="39" borderId="17" xfId="0" applyFont="1" applyFill="1" applyBorder="1" applyAlignment="1">
      <alignment horizontal="left"/>
    </xf>
    <xf numFmtId="0" fontId="27" fillId="39" borderId="18" xfId="0" applyFont="1" applyFill="1" applyBorder="1" applyAlignment="1">
      <alignment horizontal="left"/>
    </xf>
    <xf numFmtId="0" fontId="27" fillId="39" borderId="16" xfId="0" applyFont="1" applyFill="1" applyBorder="1" applyAlignment="1">
      <alignment horizontal="left"/>
    </xf>
    <xf numFmtId="0" fontId="21" fillId="38" borderId="17" xfId="0" applyFont="1" applyFill="1" applyBorder="1" applyAlignment="1">
      <alignment horizontal="right"/>
    </xf>
    <xf numFmtId="10" fontId="21" fillId="38" borderId="17" xfId="0" applyNumberFormat="1" applyFont="1" applyFill="1" applyBorder="1" applyAlignment="1">
      <alignment horizontal="right"/>
    </xf>
    <xf numFmtId="0" fontId="23" fillId="35" borderId="12" xfId="0" applyFont="1" applyFill="1" applyBorder="1"/>
    <xf numFmtId="0" fontId="23" fillId="36" borderId="0" xfId="0" applyFont="1" applyFill="1"/>
    <xf numFmtId="0" fontId="18" fillId="35" borderId="18" xfId="0" applyFont="1" applyFill="1" applyBorder="1" applyAlignment="1">
      <alignment horizontal="left"/>
    </xf>
    <xf numFmtId="0" fontId="18" fillId="36" borderId="17" xfId="0" applyFont="1" applyFill="1" applyBorder="1" applyAlignment="1">
      <alignment horizontal="left"/>
    </xf>
    <xf numFmtId="0" fontId="23" fillId="34" borderId="17" xfId="0" applyFont="1" applyFill="1" applyBorder="1"/>
    <xf numFmtId="0" fontId="23" fillId="40" borderId="17" xfId="0" applyFont="1" applyFill="1" applyBorder="1"/>
    <xf numFmtId="0" fontId="23" fillId="36" borderId="17" xfId="0" applyFont="1" applyFill="1" applyBorder="1"/>
    <xf numFmtId="0" fontId="23" fillId="39" borderId="17" xfId="0" applyFont="1" applyFill="1" applyBorder="1"/>
    <xf numFmtId="0" fontId="19" fillId="33" borderId="18" xfId="0" applyFont="1" applyFill="1" applyBorder="1"/>
    <xf numFmtId="0" fontId="18" fillId="35" borderId="18" xfId="0" applyFont="1" applyFill="1" applyBorder="1"/>
    <xf numFmtId="0" fontId="23" fillId="39" borderId="18" xfId="0" applyFont="1" applyFill="1" applyBorder="1"/>
    <xf numFmtId="0" fontId="23" fillId="39" borderId="16" xfId="0" applyFont="1" applyFill="1" applyBorder="1"/>
    <xf numFmtId="0" fontId="23" fillId="35" borderId="11" xfId="0" applyFont="1" applyFill="1" applyBorder="1"/>
    <xf numFmtId="0" fontId="23" fillId="33" borderId="26" xfId="0" applyFont="1" applyFill="1" applyBorder="1"/>
    <xf numFmtId="0" fontId="23" fillId="34" borderId="25" xfId="0" applyFont="1" applyFill="1" applyBorder="1"/>
    <xf numFmtId="0" fontId="23" fillId="40" borderId="26" xfId="0" applyFont="1" applyFill="1" applyBorder="1"/>
    <xf numFmtId="0" fontId="23" fillId="40" borderId="25" xfId="0" applyFont="1" applyFill="1" applyBorder="1"/>
    <xf numFmtId="0" fontId="23" fillId="35" borderId="27" xfId="0" applyFont="1" applyFill="1" applyBorder="1"/>
    <xf numFmtId="0" fontId="23" fillId="36" borderId="25" xfId="0" applyFont="1" applyFill="1" applyBorder="1"/>
    <xf numFmtId="0" fontId="23" fillId="39" borderId="26" xfId="0" applyFont="1" applyFill="1" applyBorder="1"/>
    <xf numFmtId="0" fontId="23" fillId="39" borderId="25" xfId="0" applyFont="1" applyFill="1" applyBorder="1"/>
    <xf numFmtId="0" fontId="30" fillId="38" borderId="17" xfId="0" applyFont="1" applyFill="1" applyBorder="1" applyAlignment="1">
      <alignment horizontal="right"/>
    </xf>
    <xf numFmtId="10" fontId="30" fillId="38" borderId="17" xfId="0" applyNumberFormat="1" applyFont="1" applyFill="1" applyBorder="1" applyAlignment="1">
      <alignment horizontal="right"/>
    </xf>
    <xf numFmtId="0" fontId="18" fillId="43" borderId="20" xfId="0" applyFont="1" applyFill="1" applyBorder="1"/>
    <xf numFmtId="0" fontId="31" fillId="38" borderId="0" xfId="0" applyFont="1" applyFill="1"/>
    <xf numFmtId="0" fontId="23" fillId="38" borderId="0" xfId="0" applyFont="1" applyFill="1" applyAlignment="1">
      <alignment horizontal="right"/>
    </xf>
    <xf numFmtId="0" fontId="23" fillId="39" borderId="27" xfId="0" applyFont="1" applyFill="1" applyBorder="1"/>
    <xf numFmtId="0" fontId="23" fillId="38" borderId="25" xfId="0" applyFont="1" applyFill="1" applyBorder="1" applyAlignment="1">
      <alignment horizontal="right"/>
    </xf>
    <xf numFmtId="0" fontId="3" fillId="0" borderId="1" xfId="2"/>
    <xf numFmtId="0" fontId="3" fillId="0" borderId="1" xfId="2" applyFill="1"/>
    <xf numFmtId="0" fontId="0" fillId="0" borderId="29" xfId="0" applyBorder="1"/>
    <xf numFmtId="17" fontId="0" fillId="0" borderId="29" xfId="0" applyNumberFormat="1" applyBorder="1"/>
    <xf numFmtId="0" fontId="6" fillId="2" borderId="29" xfId="6" applyBorder="1"/>
    <xf numFmtId="0" fontId="8" fillId="4" borderId="0" xfId="8" applyBorder="1"/>
    <xf numFmtId="0" fontId="18" fillId="0" borderId="30" xfId="0" applyFont="1" applyBorder="1"/>
    <xf numFmtId="0" fontId="23" fillId="0" borderId="31" xfId="0" applyFont="1" applyBorder="1"/>
    <xf numFmtId="0" fontId="23" fillId="0" borderId="32" xfId="0" applyFont="1" applyBorder="1"/>
    <xf numFmtId="0" fontId="23" fillId="0" borderId="33" xfId="0" applyFont="1" applyBorder="1"/>
    <xf numFmtId="0" fontId="18" fillId="0" borderId="31" xfId="0" applyFont="1" applyBorder="1"/>
    <xf numFmtId="0" fontId="18" fillId="0" borderId="32" xfId="0" applyFont="1" applyBorder="1"/>
    <xf numFmtId="0" fontId="18" fillId="0" borderId="33" xfId="0" applyFont="1" applyBorder="1"/>
    <xf numFmtId="0" fontId="20" fillId="0" borderId="32" xfId="0" applyFont="1" applyBorder="1"/>
    <xf numFmtId="0" fontId="21" fillId="0" borderId="32" xfId="0" applyFont="1" applyBorder="1" applyAlignment="1">
      <alignment horizontal="right"/>
    </xf>
    <xf numFmtId="0" fontId="6" fillId="2" borderId="0" xfId="6"/>
    <xf numFmtId="0" fontId="0" fillId="0" borderId="0" xfId="0" pivotButton="1"/>
    <xf numFmtId="1" fontId="3" fillId="0" borderId="1" xfId="2" applyNumberFormat="1" applyFill="1"/>
    <xf numFmtId="1" fontId="0" fillId="0" borderId="0" xfId="0" applyNumberFormat="1"/>
    <xf numFmtId="1" fontId="0" fillId="0" borderId="29" xfId="0" applyNumberFormat="1" applyBorder="1"/>
    <xf numFmtId="0" fontId="0" fillId="0" borderId="0" xfId="0" applyAlignment="1">
      <alignment horizontal="left"/>
    </xf>
    <xf numFmtId="0" fontId="18" fillId="39" borderId="12" xfId="0" applyFont="1" applyFill="1" applyBorder="1"/>
    <xf numFmtId="0" fontId="18" fillId="39" borderId="13" xfId="0" applyFont="1" applyFill="1" applyBorder="1"/>
    <xf numFmtId="0" fontId="19" fillId="39" borderId="12" xfId="0" applyFont="1" applyFill="1" applyBorder="1"/>
    <xf numFmtId="0" fontId="19" fillId="39" borderId="13" xfId="0" applyFont="1" applyFill="1" applyBorder="1"/>
    <xf numFmtId="0" fontId="18" fillId="37" borderId="0" xfId="0" applyFont="1" applyFill="1"/>
    <xf numFmtId="0" fontId="18" fillId="33" borderId="12" xfId="0" applyFont="1" applyFill="1" applyBorder="1"/>
    <xf numFmtId="0" fontId="18" fillId="33" borderId="13" xfId="0" applyFont="1" applyFill="1" applyBorder="1"/>
    <xf numFmtId="0" fontId="19" fillId="35" borderId="12" xfId="0" applyFont="1" applyFill="1" applyBorder="1"/>
    <xf numFmtId="0" fontId="19" fillId="35" borderId="13" xfId="0" applyFont="1" applyFill="1" applyBorder="1"/>
    <xf numFmtId="0" fontId="18" fillId="39" borderId="18" xfId="0" applyFont="1" applyFill="1" applyBorder="1" applyAlignment="1">
      <alignment horizontal="left"/>
    </xf>
    <xf numFmtId="0" fontId="18" fillId="39" borderId="19" xfId="0" applyFont="1" applyFill="1" applyBorder="1" applyAlignment="1">
      <alignment horizontal="left"/>
    </xf>
    <xf numFmtId="0" fontId="19" fillId="39" borderId="18" xfId="0" applyFont="1" applyFill="1" applyBorder="1"/>
    <xf numFmtId="0" fontId="19" fillId="39" borderId="19" xfId="0" applyFont="1" applyFill="1" applyBorder="1"/>
    <xf numFmtId="0" fontId="18" fillId="37" borderId="17" xfId="0" applyFont="1" applyFill="1" applyBorder="1"/>
    <xf numFmtId="0" fontId="18" fillId="39" borderId="21" xfId="0" applyFont="1" applyFill="1" applyBorder="1"/>
    <xf numFmtId="0" fontId="18" fillId="39" borderId="22" xfId="0" applyFont="1" applyFill="1" applyBorder="1"/>
    <xf numFmtId="0" fontId="19" fillId="39" borderId="21" xfId="0" applyFont="1" applyFill="1" applyBorder="1"/>
    <xf numFmtId="0" fontId="19" fillId="39" borderId="22" xfId="0" applyFont="1" applyFill="1" applyBorder="1"/>
    <xf numFmtId="0" fontId="18" fillId="37" borderId="23" xfId="0" applyFont="1" applyFill="1" applyBorder="1"/>
    <xf numFmtId="0" fontId="23" fillId="39" borderId="21" xfId="0" applyFont="1" applyFill="1" applyBorder="1"/>
    <xf numFmtId="0" fontId="23" fillId="39" borderId="22" xfId="0" applyFont="1" applyFill="1" applyBorder="1"/>
    <xf numFmtId="0" fontId="23" fillId="39" borderId="12" xfId="0" applyFont="1" applyFill="1" applyBorder="1"/>
    <xf numFmtId="0" fontId="23" fillId="39" borderId="13" xfId="0" applyFont="1" applyFill="1" applyBorder="1"/>
    <xf numFmtId="0" fontId="24" fillId="37" borderId="0" xfId="0" applyFont="1" applyFill="1"/>
    <xf numFmtId="0" fontId="19" fillId="39" borderId="18" xfId="0" applyFont="1" applyFill="1" applyBorder="1" applyAlignment="1">
      <alignment horizontal="left"/>
    </xf>
    <xf numFmtId="0" fontId="19" fillId="39" borderId="19" xfId="0" applyFont="1" applyFill="1" applyBorder="1" applyAlignment="1">
      <alignment horizontal="left"/>
    </xf>
    <xf numFmtId="0" fontId="18" fillId="37" borderId="17" xfId="0" applyFont="1" applyFill="1" applyBorder="1" applyAlignment="1">
      <alignment horizontal="left"/>
    </xf>
    <xf numFmtId="0" fontId="27" fillId="37" borderId="17" xfId="0" applyFont="1" applyFill="1" applyBorder="1" applyAlignment="1">
      <alignment horizontal="left"/>
    </xf>
    <xf numFmtId="0" fontId="23" fillId="40" borderId="21" xfId="0" applyFont="1" applyFill="1" applyBorder="1"/>
    <xf numFmtId="0" fontId="23" fillId="40" borderId="22" xfId="0" applyFont="1" applyFill="1" applyBorder="1"/>
    <xf numFmtId="0" fontId="23" fillId="40" borderId="12" xfId="0" applyFont="1" applyFill="1" applyBorder="1"/>
    <xf numFmtId="0" fontId="23" fillId="40" borderId="13" xfId="0" applyFont="1" applyFill="1" applyBorder="1"/>
    <xf numFmtId="0" fontId="27" fillId="40" borderId="18" xfId="0" applyFont="1" applyFill="1" applyBorder="1" applyAlignment="1">
      <alignment horizontal="left"/>
    </xf>
    <xf numFmtId="0" fontId="27" fillId="40" borderId="19" xfId="0" applyFont="1" applyFill="1" applyBorder="1" applyAlignment="1">
      <alignment horizontal="left"/>
    </xf>
    <xf numFmtId="0" fontId="29" fillId="39" borderId="18" xfId="0" applyFont="1" applyFill="1" applyBorder="1" applyAlignment="1">
      <alignment horizontal="left"/>
    </xf>
    <xf numFmtId="0" fontId="29" fillId="39" borderId="19" xfId="0" applyFont="1" applyFill="1" applyBorder="1" applyAlignment="1">
      <alignment horizontal="left"/>
    </xf>
    <xf numFmtId="0" fontId="23" fillId="37" borderId="17" xfId="0" applyFont="1" applyFill="1" applyBorder="1"/>
    <xf numFmtId="0" fontId="23" fillId="40" borderId="27" xfId="0" applyFont="1" applyFill="1" applyBorder="1"/>
    <xf numFmtId="0" fontId="23" fillId="40" borderId="28" xfId="0" applyFont="1" applyFill="1" applyBorder="1"/>
    <xf numFmtId="0" fontId="23" fillId="40" borderId="18" xfId="0" applyFont="1" applyFill="1" applyBorder="1"/>
    <xf numFmtId="0" fontId="23" fillId="40" borderId="19" xfId="0" applyFont="1" applyFill="1" applyBorder="1"/>
    <xf numFmtId="0" fontId="23" fillId="37" borderId="0" xfId="0" applyFont="1" applyFill="1"/>
    <xf numFmtId="0" fontId="23" fillId="37" borderId="23" xfId="0" applyFont="1" applyFill="1" applyBorder="1"/>
    <xf numFmtId="0" fontId="19" fillId="0" borderId="21" xfId="0" applyFont="1" applyBorder="1"/>
    <xf numFmtId="0" fontId="19" fillId="0" borderId="22" xfId="0" applyFont="1" applyBorder="1"/>
    <xf numFmtId="0" fontId="18" fillId="0" borderId="32" xfId="0" applyFont="1" applyBorder="1"/>
    <xf numFmtId="0" fontId="23" fillId="39" borderId="27" xfId="0" applyFont="1" applyFill="1" applyBorder="1"/>
    <xf numFmtId="0" fontId="23" fillId="39" borderId="28" xfId="0" applyFont="1" applyFill="1" applyBorder="1"/>
    <xf numFmtId="0" fontId="32" fillId="5" borderId="4" xfId="9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e" refreshedDate="45969.100404976853" createdVersion="8" refreshedVersion="8" minRefreshableVersion="3" recordCount="67" xr:uid="{6E0C8DF4-3625-4B67-921E-60096E5262ED}">
  <cacheSource type="worksheet">
    <worksheetSource ref="A1:J1048576" sheet="reformat"/>
  </cacheSource>
  <cacheFields count="12">
    <cacheField name="question_type" numFmtId="0">
      <sharedItems containsBlank="1" count="7">
        <s v="MC"/>
        <s v="TF"/>
        <s v="MTC"/>
        <s v="D&amp;D"/>
        <s v="DIA"/>
        <s v="MW"/>
        <m/>
      </sharedItems>
    </cacheField>
    <cacheField name="answer_options" numFmtId="0">
      <sharedItems containsBlank="1"/>
    </cacheField>
    <cacheField name="i_forgot_what_the_colours_mean" numFmtId="0">
      <sharedItems containsNonDate="0" containsString="0" containsBlank="1"/>
    </cacheField>
    <cacheField name="test_date" numFmtId="0">
      <sharedItems containsNonDate="0" containsDate="1" containsString="0" containsBlank="1" minDate="2025-01-01T00:00:00" maxDate="2025-10-02T00:00:00" count="7">
        <d v="2025-05-01T00:00:00"/>
        <d v="2025-07-01T00:00:00"/>
        <d v="2025-09-01T00:00:00"/>
        <d v="2025-10-01T00:00:00"/>
        <d v="2025-01-01T00:00:00"/>
        <d v="2025-03-01T00:00:00"/>
        <m/>
      </sharedItems>
      <fieldGroup par="11"/>
    </cacheField>
    <cacheField name="test_type" numFmtId="0">
      <sharedItems containsBlank="1"/>
    </cacheField>
    <cacheField name="participant_number" numFmtId="1">
      <sharedItems containsString="0" containsBlank="1" containsNumber="1" containsInteger="1" minValue="1" maxValue="10"/>
    </cacheField>
    <cacheField name="correct_choice_frequency" numFmtId="0">
      <sharedItems containsString="0" containsBlank="1" containsNumber="1" containsInteger="1" minValue="0" maxValue="10"/>
    </cacheField>
    <cacheField name="incorrect_choice_frequency" numFmtId="0">
      <sharedItems containsString="0" containsBlank="1" containsNumber="1" containsInteger="1" minValue="0" maxValue="4"/>
    </cacheField>
    <cacheField name="correct_choice_percentage" numFmtId="0">
      <sharedItems containsString="0" containsBlank="1" containsNumber="1" minValue="0" maxValue="100"/>
    </cacheField>
    <cacheField name="incorrect_choice_percentage" numFmtId="0">
      <sharedItems containsString="0" containsBlank="1" containsNumber="1" minValue="0" maxValue="57.142857142857139"/>
    </cacheField>
    <cacheField name="Days (test_date)" numFmtId="0" databaseField="0">
      <fieldGroup base="3">
        <rangePr groupBy="days" startDate="2025-01-01T00:00:00" endDate="2025-10-02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10/2025"/>
        </groupItems>
      </fieldGroup>
    </cacheField>
    <cacheField name="Months (test_date)" numFmtId="0" databaseField="0">
      <fieldGroup base="3">
        <rangePr groupBy="months" startDate="2025-01-01T00:00:00" endDate="2025-10-02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s v="A"/>
    <m/>
    <x v="0"/>
    <s v="test"/>
    <n v="1"/>
    <n v="0"/>
    <n v="0"/>
    <n v="0"/>
    <n v="0"/>
  </r>
  <r>
    <x v="0"/>
    <s v="B"/>
    <m/>
    <x v="0"/>
    <s v="test"/>
    <n v="1"/>
    <n v="0"/>
    <n v="0"/>
    <n v="0"/>
    <n v="0"/>
  </r>
  <r>
    <x v="0"/>
    <s v="C"/>
    <m/>
    <x v="0"/>
    <s v="test"/>
    <n v="1"/>
    <n v="0"/>
    <n v="0"/>
    <n v="0"/>
    <n v="0"/>
  </r>
  <r>
    <x v="0"/>
    <s v="D"/>
    <m/>
    <x v="0"/>
    <s v="test"/>
    <n v="1"/>
    <n v="0"/>
    <n v="0"/>
    <n v="0"/>
    <n v="0"/>
  </r>
  <r>
    <x v="0"/>
    <s v="E"/>
    <m/>
    <x v="0"/>
    <s v="test"/>
    <n v="1"/>
    <n v="1"/>
    <n v="0"/>
    <n v="100"/>
    <n v="0"/>
  </r>
  <r>
    <x v="0"/>
    <s v="A"/>
    <m/>
    <x v="1"/>
    <s v="test"/>
    <n v="7"/>
    <n v="0"/>
    <n v="0"/>
    <n v="0"/>
    <n v="0"/>
  </r>
  <r>
    <x v="0"/>
    <s v="B"/>
    <m/>
    <x v="1"/>
    <s v="test"/>
    <n v="7"/>
    <n v="0"/>
    <n v="0"/>
    <n v="0"/>
    <n v="0"/>
  </r>
  <r>
    <x v="0"/>
    <s v="C"/>
    <m/>
    <x v="1"/>
    <s v="test"/>
    <n v="7"/>
    <n v="0"/>
    <n v="1"/>
    <n v="0"/>
    <n v="14.285714285714285"/>
  </r>
  <r>
    <x v="0"/>
    <s v="D"/>
    <m/>
    <x v="1"/>
    <s v="test"/>
    <n v="7"/>
    <n v="0"/>
    <n v="0"/>
    <n v="0"/>
    <n v="0"/>
  </r>
  <r>
    <x v="0"/>
    <s v="E"/>
    <m/>
    <x v="1"/>
    <s v="test"/>
    <n v="7"/>
    <n v="6"/>
    <n v="0"/>
    <n v="85.714285714285708"/>
    <n v="0"/>
  </r>
  <r>
    <x v="0"/>
    <s v="A"/>
    <m/>
    <x v="2"/>
    <s v="test"/>
    <n v="7"/>
    <n v="0"/>
    <n v="0"/>
    <n v="0"/>
    <n v="0"/>
  </r>
  <r>
    <x v="0"/>
    <s v="B"/>
    <m/>
    <x v="2"/>
    <s v="test"/>
    <n v="7"/>
    <n v="0"/>
    <n v="0"/>
    <n v="0"/>
    <n v="0"/>
  </r>
  <r>
    <x v="0"/>
    <s v="C"/>
    <m/>
    <x v="2"/>
    <s v="test"/>
    <n v="7"/>
    <n v="0"/>
    <n v="1"/>
    <n v="0"/>
    <n v="14.285714285714285"/>
  </r>
  <r>
    <x v="0"/>
    <s v="D"/>
    <m/>
    <x v="2"/>
    <s v="test"/>
    <n v="7"/>
    <n v="0"/>
    <n v="1"/>
    <n v="0"/>
    <n v="14.285714285714285"/>
  </r>
  <r>
    <x v="0"/>
    <s v="E"/>
    <m/>
    <x v="2"/>
    <s v="test"/>
    <n v="7"/>
    <n v="5"/>
    <n v="0"/>
    <n v="71.428571428571431"/>
    <n v="0"/>
  </r>
  <r>
    <x v="1"/>
    <s v="A"/>
    <m/>
    <x v="1"/>
    <s v="resit"/>
    <n v="1"/>
    <n v="0"/>
    <n v="0"/>
    <n v="0"/>
    <n v="0"/>
  </r>
  <r>
    <x v="1"/>
    <s v="B"/>
    <m/>
    <x v="1"/>
    <s v="resit"/>
    <n v="1"/>
    <n v="1"/>
    <n v="0"/>
    <n v="100"/>
    <n v="0"/>
  </r>
  <r>
    <x v="1"/>
    <s v="C"/>
    <m/>
    <x v="1"/>
    <s v="resit"/>
    <n v="1"/>
    <n v="0"/>
    <n v="0"/>
    <n v="0"/>
    <n v="0"/>
  </r>
  <r>
    <x v="1"/>
    <s v="D"/>
    <m/>
    <x v="1"/>
    <s v="resit"/>
    <n v="1"/>
    <n v="0"/>
    <n v="0"/>
    <n v="0"/>
    <n v="0"/>
  </r>
  <r>
    <x v="1"/>
    <s v="E"/>
    <m/>
    <x v="1"/>
    <s v="resit"/>
    <n v="1"/>
    <n v="0"/>
    <n v="0"/>
    <n v="0"/>
    <n v="0"/>
  </r>
  <r>
    <x v="1"/>
    <s v="A"/>
    <m/>
    <x v="3"/>
    <s v="AB"/>
    <n v="2"/>
    <n v="2"/>
    <n v="0"/>
    <n v="100"/>
    <n v="0"/>
  </r>
  <r>
    <x v="1"/>
    <s v="B"/>
    <m/>
    <x v="3"/>
    <s v="AB"/>
    <n v="2"/>
    <n v="1"/>
    <n v="0"/>
    <n v="50"/>
    <n v="0"/>
  </r>
  <r>
    <x v="1"/>
    <s v="C"/>
    <m/>
    <x v="3"/>
    <s v="AB"/>
    <n v="2"/>
    <n v="1"/>
    <n v="0"/>
    <n v="50"/>
    <n v="0"/>
  </r>
  <r>
    <x v="1"/>
    <s v="D"/>
    <m/>
    <x v="3"/>
    <s v="AB"/>
    <n v="2"/>
    <n v="0"/>
    <n v="0"/>
    <n v="0"/>
    <n v="0"/>
  </r>
  <r>
    <x v="1"/>
    <s v="E"/>
    <m/>
    <x v="3"/>
    <s v="AB"/>
    <n v="2"/>
    <n v="2"/>
    <n v="0"/>
    <n v="100"/>
    <n v="0"/>
  </r>
  <r>
    <x v="2"/>
    <s v="A"/>
    <m/>
    <x v="4"/>
    <s v="test"/>
    <n v="4"/>
    <n v="4"/>
    <n v="0"/>
    <n v="100"/>
    <n v="0"/>
  </r>
  <r>
    <x v="2"/>
    <s v="B"/>
    <m/>
    <x v="4"/>
    <s v="test"/>
    <n v="4"/>
    <n v="4"/>
    <n v="0"/>
    <n v="100"/>
    <n v="0"/>
  </r>
  <r>
    <x v="2"/>
    <s v="C"/>
    <m/>
    <x v="4"/>
    <s v="test"/>
    <n v="4"/>
    <n v="4"/>
    <n v="0"/>
    <n v="100"/>
    <n v="0"/>
  </r>
  <r>
    <x v="2"/>
    <s v="D"/>
    <m/>
    <x v="4"/>
    <s v="test"/>
    <n v="4"/>
    <n v="4"/>
    <n v="0"/>
    <n v="100"/>
    <n v="0"/>
  </r>
  <r>
    <x v="2"/>
    <s v="E"/>
    <m/>
    <x v="4"/>
    <s v="test"/>
    <n v="4"/>
    <n v="4"/>
    <n v="0"/>
    <n v="100"/>
    <n v="0"/>
  </r>
  <r>
    <x v="2"/>
    <s v="A"/>
    <m/>
    <x v="5"/>
    <s v="resit"/>
    <n v="2"/>
    <n v="2"/>
    <n v="0"/>
    <n v="100"/>
    <n v="0"/>
  </r>
  <r>
    <x v="2"/>
    <s v="B"/>
    <m/>
    <x v="5"/>
    <s v="resit"/>
    <n v="2"/>
    <n v="2"/>
    <n v="0"/>
    <n v="100"/>
    <n v="0"/>
  </r>
  <r>
    <x v="2"/>
    <s v="C"/>
    <m/>
    <x v="5"/>
    <s v="resit"/>
    <n v="2"/>
    <n v="2"/>
    <n v="0"/>
    <n v="100"/>
    <n v="0"/>
  </r>
  <r>
    <x v="2"/>
    <s v="D"/>
    <m/>
    <x v="5"/>
    <s v="resit"/>
    <n v="2"/>
    <n v="2"/>
    <n v="0"/>
    <n v="100"/>
    <n v="0"/>
  </r>
  <r>
    <x v="2"/>
    <s v="E"/>
    <m/>
    <x v="5"/>
    <s v="resit"/>
    <n v="2"/>
    <n v="2"/>
    <n v="0"/>
    <n v="100"/>
    <n v="0"/>
  </r>
  <r>
    <x v="3"/>
    <s v="A"/>
    <m/>
    <x v="3"/>
    <s v="test"/>
    <n v="10"/>
    <n v="9"/>
    <n v="0"/>
    <n v="90"/>
    <n v="0"/>
  </r>
  <r>
    <x v="3"/>
    <s v="B"/>
    <m/>
    <x v="3"/>
    <s v="test"/>
    <n v="10"/>
    <n v="9"/>
    <n v="0"/>
    <n v="90"/>
    <n v="0"/>
  </r>
  <r>
    <x v="3"/>
    <s v="C"/>
    <m/>
    <x v="3"/>
    <s v="test"/>
    <n v="10"/>
    <n v="10"/>
    <n v="0"/>
    <n v="100"/>
    <n v="0"/>
  </r>
  <r>
    <x v="3"/>
    <s v="D"/>
    <m/>
    <x v="3"/>
    <s v="test"/>
    <n v="10"/>
    <n v="10"/>
    <n v="0"/>
    <n v="100"/>
    <n v="0"/>
  </r>
  <r>
    <x v="3"/>
    <s v="E"/>
    <m/>
    <x v="3"/>
    <s v="test"/>
    <n v="10"/>
    <n v="10"/>
    <n v="0"/>
    <n v="100"/>
    <n v="0"/>
  </r>
  <r>
    <x v="4"/>
    <s v="Male"/>
    <m/>
    <x v="4"/>
    <s v="test"/>
    <n v="4"/>
    <n v="4"/>
    <n v="0"/>
    <n v="100"/>
    <n v="0"/>
  </r>
  <r>
    <x v="4"/>
    <s v="Female"/>
    <m/>
    <x v="4"/>
    <s v="test"/>
    <n v="4"/>
    <n v="4"/>
    <n v="0"/>
    <n v="100"/>
    <n v="0"/>
  </r>
  <r>
    <x v="4"/>
    <s v="Male"/>
    <m/>
    <x v="5"/>
    <s v="resit"/>
    <n v="2"/>
    <n v="2"/>
    <n v="0"/>
    <n v="100"/>
    <n v="0"/>
  </r>
  <r>
    <x v="4"/>
    <s v="Female"/>
    <m/>
    <x v="5"/>
    <s v="resit"/>
    <n v="2"/>
    <n v="2"/>
    <n v="0"/>
    <n v="100"/>
    <n v="0"/>
  </r>
  <r>
    <x v="4"/>
    <s v="Male"/>
    <m/>
    <x v="5"/>
    <s v="AB"/>
    <n v="2"/>
    <n v="2"/>
    <n v="0"/>
    <n v="100"/>
    <n v="0"/>
  </r>
  <r>
    <x v="4"/>
    <s v="Female"/>
    <m/>
    <x v="5"/>
    <s v="AB"/>
    <n v="2"/>
    <n v="2"/>
    <n v="0"/>
    <n v="100"/>
    <n v="0"/>
  </r>
  <r>
    <x v="4"/>
    <s v="Male"/>
    <m/>
    <x v="1"/>
    <s v="resit"/>
    <n v="1"/>
    <n v="1"/>
    <n v="0"/>
    <n v="100"/>
    <n v="0"/>
  </r>
  <r>
    <x v="4"/>
    <s v="Female"/>
    <m/>
    <x v="1"/>
    <s v="resit"/>
    <n v="1"/>
    <n v="1"/>
    <n v="0"/>
    <n v="100"/>
    <n v="0"/>
  </r>
  <r>
    <x v="4"/>
    <s v="Male"/>
    <m/>
    <x v="2"/>
    <s v="test"/>
    <n v="7"/>
    <n v="7"/>
    <n v="0"/>
    <n v="100"/>
    <n v="0"/>
  </r>
  <r>
    <x v="4"/>
    <s v="Female"/>
    <m/>
    <x v="2"/>
    <s v="test"/>
    <n v="7"/>
    <n v="7"/>
    <n v="0"/>
    <n v="100"/>
    <n v="0"/>
  </r>
  <r>
    <x v="4"/>
    <s v="Male"/>
    <m/>
    <x v="2"/>
    <s v="AB"/>
    <n v="1"/>
    <n v="1"/>
    <n v="0"/>
    <n v="100"/>
    <n v="0"/>
  </r>
  <r>
    <x v="4"/>
    <s v="Female"/>
    <m/>
    <x v="2"/>
    <s v="AB"/>
    <n v="1"/>
    <n v="1"/>
    <n v="0"/>
    <n v="100"/>
    <n v="0"/>
  </r>
  <r>
    <x v="5"/>
    <s v="A"/>
    <m/>
    <x v="3"/>
    <s v="resit"/>
    <n v="7"/>
    <n v="0"/>
    <n v="4"/>
    <n v="0"/>
    <n v="57.142857142857139"/>
  </r>
  <r>
    <x v="5"/>
    <s v="B"/>
    <m/>
    <x v="3"/>
    <s v="resit"/>
    <n v="7"/>
    <n v="3"/>
    <n v="0"/>
    <n v="42.857142857142854"/>
    <n v="0"/>
  </r>
  <r>
    <x v="5"/>
    <s v="C"/>
    <m/>
    <x v="3"/>
    <s v="resit"/>
    <n v="7"/>
    <n v="0"/>
    <n v="1"/>
    <n v="0"/>
    <n v="14.285714285714285"/>
  </r>
  <r>
    <x v="5"/>
    <s v="D"/>
    <m/>
    <x v="3"/>
    <s v="resit"/>
    <n v="7"/>
    <n v="5"/>
    <n v="0"/>
    <n v="71.428571428571431"/>
    <n v="0"/>
  </r>
  <r>
    <x v="5"/>
    <s v="E"/>
    <m/>
    <x v="3"/>
    <s v="resit"/>
    <n v="7"/>
    <n v="0"/>
    <n v="0"/>
    <n v="0"/>
    <n v="0"/>
  </r>
  <r>
    <x v="5"/>
    <s v="F"/>
    <m/>
    <x v="3"/>
    <s v="resit"/>
    <n v="7"/>
    <n v="6"/>
    <n v="1"/>
    <n v="85.714285714285708"/>
    <n v="14.285714285714285"/>
  </r>
  <r>
    <x v="5"/>
    <s v="G"/>
    <m/>
    <x v="3"/>
    <s v="resit"/>
    <n v="7"/>
    <n v="0"/>
    <n v="0"/>
    <n v="0"/>
    <n v="0"/>
  </r>
  <r>
    <x v="5"/>
    <s v="H"/>
    <m/>
    <x v="3"/>
    <s v="resit"/>
    <n v="7"/>
    <n v="0"/>
    <n v="0"/>
    <n v="0"/>
    <n v="0"/>
  </r>
  <r>
    <x v="5"/>
    <s v="I"/>
    <m/>
    <x v="3"/>
    <s v="resit"/>
    <n v="7"/>
    <n v="0"/>
    <n v="2"/>
    <n v="0"/>
    <n v="28.571428571428569"/>
  </r>
  <r>
    <x v="5"/>
    <s v="J"/>
    <m/>
    <x v="3"/>
    <s v="resit"/>
    <n v="7"/>
    <n v="2"/>
    <n v="0"/>
    <n v="28.571428571428569"/>
    <n v="0"/>
  </r>
  <r>
    <x v="5"/>
    <s v="K"/>
    <m/>
    <x v="3"/>
    <s v="resit"/>
    <n v="7"/>
    <n v="0"/>
    <n v="3"/>
    <n v="0"/>
    <n v="42.857142857142854"/>
  </r>
  <r>
    <x v="5"/>
    <s v="L"/>
    <m/>
    <x v="3"/>
    <s v="resit"/>
    <n v="7"/>
    <n v="0"/>
    <n v="2"/>
    <n v="0"/>
    <n v="28.571428571428569"/>
  </r>
  <r>
    <x v="5"/>
    <s v="M"/>
    <m/>
    <x v="3"/>
    <s v="resit"/>
    <n v="7"/>
    <n v="5"/>
    <n v="0"/>
    <n v="71.428571428571431"/>
    <n v="0"/>
  </r>
  <r>
    <x v="5"/>
    <s v="N"/>
    <m/>
    <x v="3"/>
    <s v="resit"/>
    <n v="7"/>
    <n v="0"/>
    <n v="0"/>
    <n v="0"/>
    <n v="0"/>
  </r>
  <r>
    <x v="6"/>
    <m/>
    <m/>
    <x v="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5C158-359F-419C-84CC-FE2B090BEF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2">
    <pivotField axis="axisRow" showAll="0">
      <items count="8">
        <item x="3"/>
        <item x="4"/>
        <item x="0"/>
        <item x="2"/>
        <item x="5"/>
        <item x="1"/>
        <item x="6"/>
        <item t="default"/>
      </items>
    </pivotField>
    <pivotField showAll="0"/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rrect_choice_percentage" fld="8" subtotal="average" baseField="0" baseItem="0"/>
    <dataField name="Average of incorrect_choice_percentage" fld="9" subtotal="average" baseField="0" baseItem="0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4C42F-2A83-476B-99AF-AE21E81C8D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2">
    <pivotField showAll="0">
      <items count="8">
        <item x="3"/>
        <item x="4"/>
        <item x="0"/>
        <item x="2"/>
        <item x="5"/>
        <item x="1"/>
        <item x="6"/>
        <item t="default"/>
      </items>
    </pivotField>
    <pivotField showAll="0"/>
    <pivotField showAll="0"/>
    <pivotField axis="axisRow"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Row" showAll="0">
      <items count="36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3"/>
  </rowFields>
  <rowItems count="8">
    <i>
      <x/>
    </i>
    <i>
      <x v="1"/>
    </i>
    <i>
      <x v="3"/>
    </i>
    <i>
      <x v="5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rrect_choice_percentage" fld="8" subtotal="average" baseField="0" baseItem="0"/>
    <dataField name="Average of incorrect_choice_percentage" fld="9" subtotal="average" baseField="0" baseItem="0"/>
  </dataFields>
  <conditionalFormats count="2">
    <conditionalFormat priority="2">
      <pivotAreas count="6"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10"/>
            </reference>
          </references>
        </pivotArea>
      </pivotAreas>
    </conditionalFormat>
    <conditionalFormat priority="1">
      <pivotAreas count="6"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060-7DA5-42C0-93E0-086732BEA35E}">
  <dimension ref="A1:AN44"/>
  <sheetViews>
    <sheetView workbookViewId="0">
      <pane ySplit="1" topLeftCell="A2" activePane="bottomLeft" state="frozen"/>
      <selection pane="bottomLeft" activeCell="T8" sqref="T8"/>
    </sheetView>
  </sheetViews>
  <sheetFormatPr defaultRowHeight="15"/>
  <sheetData>
    <row r="1" spans="1:40" ht="16.5" thickBot="1">
      <c r="A1" s="1" t="s">
        <v>0</v>
      </c>
      <c r="B1" s="3">
        <v>45658</v>
      </c>
      <c r="C1" s="4"/>
      <c r="D1" s="141" t="s">
        <v>1</v>
      </c>
      <c r="E1" s="142"/>
      <c r="F1" s="6">
        <v>45717</v>
      </c>
      <c r="G1" s="7"/>
      <c r="H1" s="8" t="s">
        <v>2</v>
      </c>
      <c r="I1" s="7"/>
      <c r="J1" s="8" t="s">
        <v>1</v>
      </c>
      <c r="K1" s="7"/>
      <c r="L1" s="3">
        <v>45778</v>
      </c>
      <c r="M1" s="4"/>
      <c r="N1" s="6">
        <v>45809</v>
      </c>
      <c r="O1" s="7"/>
      <c r="P1" s="143" t="s">
        <v>1</v>
      </c>
      <c r="Q1" s="144"/>
      <c r="R1" s="3">
        <v>45839</v>
      </c>
      <c r="S1" s="4"/>
      <c r="T1" s="5" t="s">
        <v>2</v>
      </c>
      <c r="U1" s="4"/>
      <c r="V1" s="6">
        <v>45901</v>
      </c>
      <c r="W1" s="7"/>
      <c r="X1" s="8" t="s">
        <v>1</v>
      </c>
      <c r="Y1" s="7"/>
      <c r="Z1" s="3">
        <v>45931</v>
      </c>
      <c r="AA1" s="4"/>
      <c r="AB1" s="9" t="s">
        <v>2</v>
      </c>
      <c r="AC1" s="4"/>
      <c r="AD1" s="5" t="s">
        <v>1</v>
      </c>
      <c r="AE1" s="4"/>
      <c r="AF1" s="6">
        <v>45597</v>
      </c>
      <c r="AG1" s="7"/>
      <c r="AH1" s="8" t="s">
        <v>1</v>
      </c>
      <c r="AI1" s="7"/>
      <c r="AJ1" s="10"/>
      <c r="AK1" s="11" t="s">
        <v>3</v>
      </c>
      <c r="AL1" s="12" t="s">
        <v>4</v>
      </c>
      <c r="AM1" s="13" t="s">
        <v>5</v>
      </c>
      <c r="AN1" s="13" t="s">
        <v>6</v>
      </c>
    </row>
    <row r="2" spans="1:40" ht="17.25" thickTop="1" thickBot="1">
      <c r="A2" s="14" t="s">
        <v>7</v>
      </c>
      <c r="B2" s="15"/>
      <c r="C2" s="16"/>
      <c r="D2" s="145"/>
      <c r="E2" s="146"/>
      <c r="F2" s="18"/>
      <c r="G2" s="16"/>
      <c r="H2" s="17"/>
      <c r="I2" s="16"/>
      <c r="J2" s="17"/>
      <c r="K2" s="16"/>
      <c r="L2" s="19">
        <v>1</v>
      </c>
      <c r="M2" s="20"/>
      <c r="N2" s="21"/>
      <c r="O2" s="22"/>
      <c r="P2" s="147"/>
      <c r="Q2" s="148"/>
      <c r="R2" s="23">
        <v>0.86</v>
      </c>
      <c r="S2" s="24"/>
      <c r="T2" s="25"/>
      <c r="U2" s="26"/>
      <c r="V2" s="27">
        <v>0.71</v>
      </c>
      <c r="W2" s="28"/>
      <c r="X2" s="29"/>
      <c r="Y2" s="30"/>
      <c r="Z2" s="21"/>
      <c r="AA2" s="22"/>
      <c r="AB2" s="31"/>
      <c r="AC2" s="22"/>
      <c r="AD2" s="31"/>
      <c r="AE2" s="22"/>
      <c r="AF2" s="21"/>
      <c r="AG2" s="22"/>
      <c r="AH2" s="31"/>
      <c r="AI2" s="22"/>
      <c r="AJ2" s="149"/>
      <c r="AK2" s="149"/>
      <c r="AL2" s="32">
        <v>0.8</v>
      </c>
      <c r="AM2" s="33">
        <v>0.86</v>
      </c>
      <c r="AN2" s="34">
        <v>0.85670000000000002</v>
      </c>
    </row>
    <row r="3" spans="1:40" ht="16.5" thickTop="1">
      <c r="A3" s="35" t="s">
        <v>8</v>
      </c>
      <c r="B3" s="36"/>
      <c r="C3" s="37"/>
      <c r="D3" s="150"/>
      <c r="E3" s="151"/>
      <c r="F3" s="36"/>
      <c r="G3" s="37"/>
      <c r="H3" s="38"/>
      <c r="I3" s="37"/>
      <c r="J3" s="38"/>
      <c r="K3" s="37"/>
      <c r="L3" s="39"/>
      <c r="M3" s="4"/>
      <c r="N3" s="36"/>
      <c r="O3" s="37"/>
      <c r="P3" s="152"/>
      <c r="Q3" s="153"/>
      <c r="R3" s="40"/>
      <c r="S3" s="41"/>
      <c r="T3" s="42"/>
      <c r="U3" s="43"/>
      <c r="V3" s="44"/>
      <c r="W3" s="7"/>
      <c r="X3" s="45"/>
      <c r="Y3" s="46"/>
      <c r="Z3" s="36"/>
      <c r="AA3" s="37"/>
      <c r="AB3" s="38"/>
      <c r="AC3" s="37"/>
      <c r="AD3" s="38"/>
      <c r="AE3" s="37"/>
      <c r="AF3" s="36"/>
      <c r="AG3" s="37"/>
      <c r="AH3" s="38"/>
      <c r="AI3" s="37"/>
      <c r="AJ3" s="154"/>
      <c r="AK3" s="154"/>
      <c r="AL3" s="12"/>
      <c r="AM3" s="47"/>
      <c r="AN3" s="47"/>
    </row>
    <row r="4" spans="1:40" ht="15.75">
      <c r="A4" s="35" t="s">
        <v>9</v>
      </c>
      <c r="B4" s="36"/>
      <c r="C4" s="37"/>
      <c r="D4" s="136"/>
      <c r="E4" s="137"/>
      <c r="F4" s="36"/>
      <c r="G4" s="37"/>
      <c r="H4" s="38"/>
      <c r="I4" s="37"/>
      <c r="J4" s="38"/>
      <c r="K4" s="37"/>
      <c r="L4" s="39"/>
      <c r="M4" s="4"/>
      <c r="N4" s="36"/>
      <c r="O4" s="37"/>
      <c r="P4" s="138"/>
      <c r="Q4" s="139"/>
      <c r="R4" s="40"/>
      <c r="S4" s="41"/>
      <c r="T4" s="42"/>
      <c r="U4" s="43"/>
      <c r="V4" s="44"/>
      <c r="W4" s="7"/>
      <c r="X4" s="45"/>
      <c r="Y4" s="46"/>
      <c r="Z4" s="36"/>
      <c r="AA4" s="37"/>
      <c r="AB4" s="38"/>
      <c r="AC4" s="37"/>
      <c r="AD4" s="38"/>
      <c r="AE4" s="37"/>
      <c r="AF4" s="36"/>
      <c r="AG4" s="37"/>
      <c r="AH4" s="38"/>
      <c r="AI4" s="37"/>
      <c r="AJ4" s="140"/>
      <c r="AK4" s="140"/>
      <c r="AL4" s="12"/>
      <c r="AM4" s="47"/>
      <c r="AN4" s="47"/>
    </row>
    <row r="5" spans="1:40" ht="15.75">
      <c r="A5" s="35" t="s">
        <v>10</v>
      </c>
      <c r="B5" s="36"/>
      <c r="C5" s="37"/>
      <c r="D5" s="136"/>
      <c r="E5" s="137"/>
      <c r="F5" s="36"/>
      <c r="G5" s="37"/>
      <c r="H5" s="38"/>
      <c r="I5" s="37"/>
      <c r="J5" s="38"/>
      <c r="K5" s="37"/>
      <c r="L5" s="39"/>
      <c r="M5" s="4"/>
      <c r="N5" s="36"/>
      <c r="O5" s="37"/>
      <c r="P5" s="138"/>
      <c r="Q5" s="139"/>
      <c r="R5" s="40"/>
      <c r="S5" s="41">
        <v>1</v>
      </c>
      <c r="T5" s="42"/>
      <c r="U5" s="43"/>
      <c r="V5" s="44"/>
      <c r="W5" s="48">
        <v>1</v>
      </c>
      <c r="X5" s="45"/>
      <c r="Y5" s="46"/>
      <c r="Z5" s="36"/>
      <c r="AA5" s="37"/>
      <c r="AB5" s="38"/>
      <c r="AC5" s="37"/>
      <c r="AD5" s="38"/>
      <c r="AE5" s="37"/>
      <c r="AF5" s="36"/>
      <c r="AG5" s="37"/>
      <c r="AH5" s="38"/>
      <c r="AI5" s="37"/>
      <c r="AJ5" s="140"/>
      <c r="AK5" s="140"/>
      <c r="AL5" s="12"/>
      <c r="AM5" s="47"/>
      <c r="AN5" s="47"/>
    </row>
    <row r="6" spans="1:40" ht="15.75">
      <c r="A6" s="35" t="s">
        <v>11</v>
      </c>
      <c r="B6" s="36"/>
      <c r="C6" s="49"/>
      <c r="D6" s="136"/>
      <c r="E6" s="137"/>
      <c r="F6" s="36"/>
      <c r="G6" s="37"/>
      <c r="H6" s="38"/>
      <c r="I6" s="37"/>
      <c r="J6" s="38"/>
      <c r="K6" s="37"/>
      <c r="L6" s="39"/>
      <c r="M6" s="4"/>
      <c r="N6" s="36"/>
      <c r="O6" s="49"/>
      <c r="P6" s="157"/>
      <c r="Q6" s="158"/>
      <c r="R6" s="40"/>
      <c r="S6" s="41"/>
      <c r="T6" s="42"/>
      <c r="U6" s="43"/>
      <c r="V6" s="52"/>
      <c r="W6" s="48">
        <v>1</v>
      </c>
      <c r="X6" s="53"/>
      <c r="Y6" s="54"/>
      <c r="Z6" s="55"/>
      <c r="AA6" s="49"/>
      <c r="AB6" s="56"/>
      <c r="AC6" s="49"/>
      <c r="AD6" s="56"/>
      <c r="AE6" s="49"/>
      <c r="AF6" s="55"/>
      <c r="AG6" s="49"/>
      <c r="AH6" s="56"/>
      <c r="AI6" s="49"/>
      <c r="AJ6" s="159"/>
      <c r="AK6" s="159"/>
      <c r="AL6" s="12"/>
      <c r="AM6" s="47"/>
      <c r="AN6" s="47"/>
    </row>
    <row r="7" spans="1:40" ht="16.5" thickBot="1">
      <c r="A7" s="57" t="s">
        <v>12</v>
      </c>
      <c r="B7" s="55"/>
      <c r="C7" s="37"/>
      <c r="D7" s="136"/>
      <c r="E7" s="137"/>
      <c r="F7" s="58"/>
      <c r="G7" s="37"/>
      <c r="H7" s="38"/>
      <c r="I7" s="37"/>
      <c r="J7" s="56"/>
      <c r="K7" s="37"/>
      <c r="L7" s="59">
        <v>1</v>
      </c>
      <c r="M7" s="4"/>
      <c r="N7" s="55"/>
      <c r="O7" s="37"/>
      <c r="P7" s="157"/>
      <c r="Q7" s="158"/>
      <c r="R7" s="40">
        <v>6</v>
      </c>
      <c r="S7" s="41"/>
      <c r="T7" s="42"/>
      <c r="U7" s="43"/>
      <c r="V7" s="52">
        <v>5</v>
      </c>
      <c r="W7" s="7"/>
      <c r="X7" s="53"/>
      <c r="Y7" s="46"/>
      <c r="Z7" s="55"/>
      <c r="AA7" s="37"/>
      <c r="AB7" s="38"/>
      <c r="AC7" s="37"/>
      <c r="AD7" s="56"/>
      <c r="AE7" s="37"/>
      <c r="AF7" s="36"/>
      <c r="AG7" s="37"/>
      <c r="AH7" s="38"/>
      <c r="AI7" s="37"/>
      <c r="AJ7" s="10"/>
      <c r="AK7" s="60">
        <v>12</v>
      </c>
      <c r="AL7" s="60">
        <v>0.8</v>
      </c>
      <c r="AM7" s="47"/>
      <c r="AN7" s="47"/>
    </row>
    <row r="8" spans="1:40" ht="17.25" thickTop="1" thickBot="1">
      <c r="A8" s="14" t="s">
        <v>13</v>
      </c>
      <c r="B8" s="15"/>
      <c r="C8" s="16"/>
      <c r="D8" s="145"/>
      <c r="E8" s="146"/>
      <c r="F8" s="15"/>
      <c r="G8" s="16"/>
      <c r="H8" s="17"/>
      <c r="I8" s="16"/>
      <c r="J8" s="17"/>
      <c r="K8" s="16"/>
      <c r="L8" s="15"/>
      <c r="M8" s="16"/>
      <c r="N8" s="15"/>
      <c r="O8" s="16"/>
      <c r="P8" s="160"/>
      <c r="Q8" s="161"/>
      <c r="R8" s="61"/>
      <c r="S8" s="26"/>
      <c r="T8" s="184">
        <v>5</v>
      </c>
      <c r="U8" s="24"/>
      <c r="V8" s="15"/>
      <c r="W8" s="16"/>
      <c r="X8" s="17"/>
      <c r="Y8" s="16"/>
      <c r="Z8" s="62"/>
      <c r="AA8" s="63"/>
      <c r="AB8" s="64"/>
      <c r="AC8" s="63"/>
      <c r="AD8" s="65">
        <v>3</v>
      </c>
      <c r="AE8" s="20"/>
      <c r="AF8" s="15"/>
      <c r="AG8" s="16"/>
      <c r="AH8" s="17"/>
      <c r="AI8" s="16"/>
      <c r="AJ8" s="162"/>
      <c r="AK8" s="162"/>
      <c r="AL8" s="32">
        <v>0.47</v>
      </c>
      <c r="AM8" s="66">
        <v>2</v>
      </c>
      <c r="AN8" s="67">
        <v>0.4</v>
      </c>
    </row>
    <row r="9" spans="1:40" ht="16.5" thickTop="1">
      <c r="A9" s="68" t="s">
        <v>8</v>
      </c>
      <c r="B9" s="58"/>
      <c r="C9" s="50"/>
      <c r="D9" s="155"/>
      <c r="E9" s="156"/>
      <c r="F9" s="58"/>
      <c r="G9" s="50"/>
      <c r="H9" s="51"/>
      <c r="I9" s="50"/>
      <c r="J9" s="51"/>
      <c r="K9" s="50"/>
      <c r="L9" s="58"/>
      <c r="M9" s="50"/>
      <c r="N9" s="58"/>
      <c r="O9" s="50"/>
      <c r="P9" s="155"/>
      <c r="Q9" s="156"/>
      <c r="R9" s="69"/>
      <c r="S9" s="43"/>
      <c r="T9" s="70"/>
      <c r="U9" s="41"/>
      <c r="V9" s="58"/>
      <c r="W9" s="50"/>
      <c r="X9" s="51"/>
      <c r="Y9" s="50"/>
      <c r="Z9" s="69"/>
      <c r="AA9" s="43"/>
      <c r="AB9" s="42"/>
      <c r="AC9" s="43"/>
      <c r="AD9" s="70">
        <v>2</v>
      </c>
      <c r="AE9" s="41"/>
      <c r="AF9" s="58"/>
      <c r="AG9" s="50"/>
      <c r="AH9" s="51"/>
      <c r="AI9" s="50"/>
      <c r="AJ9" s="71"/>
      <c r="AK9" s="12">
        <v>2</v>
      </c>
      <c r="AL9" s="12">
        <v>0.67</v>
      </c>
      <c r="AM9" s="72"/>
      <c r="AN9" s="72"/>
    </row>
    <row r="10" spans="1:40" ht="15.75">
      <c r="A10" s="35" t="s">
        <v>9</v>
      </c>
      <c r="B10" s="58"/>
      <c r="C10" s="50"/>
      <c r="D10" s="157"/>
      <c r="E10" s="158"/>
      <c r="F10" s="58"/>
      <c r="G10" s="50"/>
      <c r="H10" s="51"/>
      <c r="I10" s="50"/>
      <c r="J10" s="51"/>
      <c r="K10" s="50"/>
      <c r="L10" s="58"/>
      <c r="M10" s="50"/>
      <c r="N10" s="58"/>
      <c r="O10" s="50"/>
      <c r="P10" s="157"/>
      <c r="Q10" s="158"/>
      <c r="R10" s="69"/>
      <c r="S10" s="43"/>
      <c r="T10" s="70">
        <v>1</v>
      </c>
      <c r="U10" s="41"/>
      <c r="V10" s="58"/>
      <c r="W10" s="50"/>
      <c r="X10" s="51"/>
      <c r="Y10" s="50"/>
      <c r="Z10" s="69"/>
      <c r="AA10" s="43"/>
      <c r="AB10" s="42"/>
      <c r="AC10" s="43"/>
      <c r="AD10" s="70">
        <v>1</v>
      </c>
      <c r="AE10" s="41"/>
      <c r="AF10" s="58"/>
      <c r="AG10" s="50"/>
      <c r="AH10" s="51"/>
      <c r="AI10" s="50"/>
      <c r="AJ10" s="71"/>
      <c r="AK10" s="12">
        <v>2</v>
      </c>
      <c r="AL10" s="12">
        <v>0.67</v>
      </c>
      <c r="AM10" s="72"/>
      <c r="AN10" s="72"/>
    </row>
    <row r="11" spans="1:40" ht="15.75">
      <c r="A11" s="35" t="s">
        <v>10</v>
      </c>
      <c r="B11" s="58"/>
      <c r="C11" s="50"/>
      <c r="D11" s="157"/>
      <c r="E11" s="158"/>
      <c r="F11" s="58"/>
      <c r="G11" s="50"/>
      <c r="H11" s="51"/>
      <c r="I11" s="50"/>
      <c r="J11" s="51"/>
      <c r="K11" s="50"/>
      <c r="L11" s="58"/>
      <c r="M11" s="50"/>
      <c r="N11" s="58"/>
      <c r="O11" s="50"/>
      <c r="P11" s="157"/>
      <c r="Q11" s="158"/>
      <c r="R11" s="69"/>
      <c r="S11" s="43"/>
      <c r="T11" s="70"/>
      <c r="U11" s="41"/>
      <c r="V11" s="58"/>
      <c r="W11" s="50"/>
      <c r="X11" s="51"/>
      <c r="Y11" s="50"/>
      <c r="Z11" s="69"/>
      <c r="AA11" s="43"/>
      <c r="AB11" s="42"/>
      <c r="AC11" s="43"/>
      <c r="AD11" s="70">
        <v>1</v>
      </c>
      <c r="AE11" s="41"/>
      <c r="AF11" s="58"/>
      <c r="AG11" s="50"/>
      <c r="AH11" s="51"/>
      <c r="AI11" s="50"/>
      <c r="AJ11" s="71"/>
      <c r="AK11" s="12">
        <v>1</v>
      </c>
      <c r="AL11" s="12">
        <v>0.33</v>
      </c>
      <c r="AM11" s="72"/>
      <c r="AN11" s="72"/>
    </row>
    <row r="12" spans="1:40" ht="15.75">
      <c r="A12" s="35" t="s">
        <v>11</v>
      </c>
      <c r="B12" s="58"/>
      <c r="C12" s="50"/>
      <c r="D12" s="157"/>
      <c r="E12" s="158"/>
      <c r="F12" s="58"/>
      <c r="G12" s="50"/>
      <c r="H12" s="51"/>
      <c r="I12" s="50"/>
      <c r="J12" s="51"/>
      <c r="K12" s="50"/>
      <c r="L12" s="58"/>
      <c r="M12" s="50"/>
      <c r="N12" s="58"/>
      <c r="O12" s="50"/>
      <c r="P12" s="157"/>
      <c r="Q12" s="158"/>
      <c r="R12" s="69"/>
      <c r="S12" s="43"/>
      <c r="T12" s="70"/>
      <c r="U12" s="41"/>
      <c r="V12" s="58"/>
      <c r="W12" s="50"/>
      <c r="X12" s="51"/>
      <c r="Y12" s="50"/>
      <c r="Z12" s="69"/>
      <c r="AA12" s="43"/>
      <c r="AB12" s="42"/>
      <c r="AC12" s="43"/>
      <c r="AD12" s="70">
        <v>0</v>
      </c>
      <c r="AE12" s="41"/>
      <c r="AF12" s="58"/>
      <c r="AG12" s="50"/>
      <c r="AH12" s="51"/>
      <c r="AI12" s="50"/>
      <c r="AJ12" s="71"/>
      <c r="AK12" s="12">
        <v>0</v>
      </c>
      <c r="AL12" s="12">
        <v>0</v>
      </c>
      <c r="AM12" s="72"/>
      <c r="AN12" s="72"/>
    </row>
    <row r="13" spans="1:40" ht="16.5" thickBot="1">
      <c r="A13" s="73" t="s">
        <v>12</v>
      </c>
      <c r="B13" s="58"/>
      <c r="C13" s="50"/>
      <c r="D13" s="157"/>
      <c r="E13" s="158"/>
      <c r="F13" s="58"/>
      <c r="G13" s="50"/>
      <c r="H13" s="51"/>
      <c r="I13" s="50"/>
      <c r="J13" s="51"/>
      <c r="K13" s="50"/>
      <c r="L13" s="58"/>
      <c r="M13" s="50"/>
      <c r="N13" s="58"/>
      <c r="O13" s="50"/>
      <c r="P13" s="157"/>
      <c r="Q13" s="158"/>
      <c r="R13" s="69"/>
      <c r="S13" s="43"/>
      <c r="T13" s="70"/>
      <c r="U13" s="41"/>
      <c r="V13" s="58"/>
      <c r="W13" s="50"/>
      <c r="X13" s="51"/>
      <c r="Y13" s="50"/>
      <c r="Z13" s="69"/>
      <c r="AA13" s="43"/>
      <c r="AB13" s="42"/>
      <c r="AC13" s="43"/>
      <c r="AD13" s="70">
        <v>2</v>
      </c>
      <c r="AE13" s="41"/>
      <c r="AF13" s="58"/>
      <c r="AG13" s="50"/>
      <c r="AH13" s="51"/>
      <c r="AI13" s="50"/>
      <c r="AJ13" s="71"/>
      <c r="AK13" s="12">
        <v>2</v>
      </c>
      <c r="AL13" s="12">
        <v>0.67</v>
      </c>
      <c r="AM13" s="74"/>
      <c r="AN13" s="74"/>
    </row>
    <row r="14" spans="1:40" ht="17.25" thickTop="1" thickBot="1">
      <c r="A14" s="14" t="s">
        <v>14</v>
      </c>
      <c r="B14" s="75">
        <v>5</v>
      </c>
      <c r="C14" s="76"/>
      <c r="D14" s="168"/>
      <c r="E14" s="169"/>
      <c r="F14" s="78"/>
      <c r="G14" s="79"/>
      <c r="H14" s="80">
        <v>5</v>
      </c>
      <c r="I14" s="81"/>
      <c r="J14" s="77"/>
      <c r="K14" s="79"/>
      <c r="L14" s="18"/>
      <c r="M14" s="82"/>
      <c r="N14" s="15"/>
      <c r="O14" s="16"/>
      <c r="P14" s="170"/>
      <c r="Q14" s="171"/>
      <c r="R14" s="18"/>
      <c r="S14" s="82"/>
      <c r="T14" s="83"/>
      <c r="U14" s="82"/>
      <c r="V14" s="84"/>
      <c r="W14" s="82"/>
      <c r="X14" s="83"/>
      <c r="Y14" s="82"/>
      <c r="Z14" s="84"/>
      <c r="AA14" s="82"/>
      <c r="AB14" s="83"/>
      <c r="AC14" s="82"/>
      <c r="AD14" s="83"/>
      <c r="AE14" s="82"/>
      <c r="AF14" s="84"/>
      <c r="AG14" s="82"/>
      <c r="AH14" s="83"/>
      <c r="AI14" s="82"/>
      <c r="AJ14" s="163"/>
      <c r="AK14" s="163"/>
      <c r="AL14" s="32">
        <v>1</v>
      </c>
      <c r="AM14" s="85">
        <v>5</v>
      </c>
      <c r="AN14" s="86">
        <v>1</v>
      </c>
    </row>
    <row r="15" spans="1:40" ht="16.5" thickTop="1">
      <c r="A15" s="35" t="s">
        <v>8</v>
      </c>
      <c r="B15" s="40">
        <v>4</v>
      </c>
      <c r="C15" s="41"/>
      <c r="D15" s="164"/>
      <c r="E15" s="165"/>
      <c r="F15" s="69"/>
      <c r="G15" s="43"/>
      <c r="H15" s="87">
        <v>2</v>
      </c>
      <c r="I15" s="88"/>
      <c r="J15" s="42"/>
      <c r="K15" s="43"/>
      <c r="L15" s="58"/>
      <c r="M15" s="50"/>
      <c r="N15" s="58"/>
      <c r="O15" s="50"/>
      <c r="P15" s="155"/>
      <c r="Q15" s="156"/>
      <c r="R15" s="58"/>
      <c r="S15" s="50"/>
      <c r="T15" s="51"/>
      <c r="U15" s="50"/>
      <c r="V15" s="58"/>
      <c r="W15" s="50"/>
      <c r="X15" s="51"/>
      <c r="Y15" s="50"/>
      <c r="Z15" s="58"/>
      <c r="AA15" s="50"/>
      <c r="AB15" s="51"/>
      <c r="AC15" s="50"/>
      <c r="AD15" s="51"/>
      <c r="AE15" s="50"/>
      <c r="AF15" s="58"/>
      <c r="AG15" s="50"/>
      <c r="AH15" s="51"/>
      <c r="AI15" s="50"/>
      <c r="AJ15" s="71"/>
      <c r="AK15" s="12">
        <v>6</v>
      </c>
      <c r="AL15" s="12">
        <v>1</v>
      </c>
      <c r="AM15" s="72"/>
      <c r="AN15" s="72"/>
    </row>
    <row r="16" spans="1:40" ht="15.75">
      <c r="A16" s="35" t="s">
        <v>9</v>
      </c>
      <c r="B16" s="40">
        <v>4</v>
      </c>
      <c r="C16" s="41"/>
      <c r="D16" s="166"/>
      <c r="E16" s="167"/>
      <c r="F16" s="69"/>
      <c r="G16" s="43"/>
      <c r="H16" s="87">
        <v>2</v>
      </c>
      <c r="I16" s="88"/>
      <c r="J16" s="42"/>
      <c r="K16" s="43"/>
      <c r="L16" s="58"/>
      <c r="M16" s="50"/>
      <c r="N16" s="58"/>
      <c r="O16" s="50"/>
      <c r="P16" s="157"/>
      <c r="Q16" s="158"/>
      <c r="R16" s="58"/>
      <c r="S16" s="50"/>
      <c r="T16" s="51"/>
      <c r="U16" s="50"/>
      <c r="V16" s="58"/>
      <c r="W16" s="50"/>
      <c r="X16" s="51"/>
      <c r="Y16" s="50"/>
      <c r="Z16" s="58"/>
      <c r="AA16" s="50"/>
      <c r="AB16" s="51"/>
      <c r="AC16" s="50"/>
      <c r="AD16" s="51"/>
      <c r="AE16" s="50"/>
      <c r="AF16" s="58"/>
      <c r="AG16" s="50"/>
      <c r="AH16" s="51"/>
      <c r="AI16" s="50"/>
      <c r="AJ16" s="71"/>
      <c r="AK16" s="12">
        <v>6</v>
      </c>
      <c r="AL16" s="12">
        <v>1</v>
      </c>
      <c r="AM16" s="72"/>
      <c r="AN16" s="72"/>
    </row>
    <row r="17" spans="1:40" ht="15.75">
      <c r="A17" s="35" t="s">
        <v>10</v>
      </c>
      <c r="B17" s="40">
        <v>4</v>
      </c>
      <c r="C17" s="41"/>
      <c r="D17" s="166"/>
      <c r="E17" s="167"/>
      <c r="F17" s="69"/>
      <c r="G17" s="43"/>
      <c r="H17" s="87">
        <v>2</v>
      </c>
      <c r="I17" s="88"/>
      <c r="J17" s="42"/>
      <c r="K17" s="43"/>
      <c r="L17" s="58"/>
      <c r="M17" s="50"/>
      <c r="N17" s="58"/>
      <c r="O17" s="50"/>
      <c r="P17" s="157"/>
      <c r="Q17" s="158"/>
      <c r="R17" s="58"/>
      <c r="S17" s="50"/>
      <c r="T17" s="51"/>
      <c r="U17" s="50"/>
      <c r="V17" s="58"/>
      <c r="W17" s="50"/>
      <c r="X17" s="51"/>
      <c r="Y17" s="50"/>
      <c r="Z17" s="58"/>
      <c r="AA17" s="50"/>
      <c r="AB17" s="51"/>
      <c r="AC17" s="50"/>
      <c r="AD17" s="51"/>
      <c r="AE17" s="50"/>
      <c r="AF17" s="58"/>
      <c r="AG17" s="50"/>
      <c r="AH17" s="51"/>
      <c r="AI17" s="50"/>
      <c r="AJ17" s="71"/>
      <c r="AK17" s="12">
        <v>6</v>
      </c>
      <c r="AL17" s="12">
        <v>1</v>
      </c>
      <c r="AM17" s="72"/>
      <c r="AN17" s="72"/>
    </row>
    <row r="18" spans="1:40" ht="15.75">
      <c r="A18" s="35" t="s">
        <v>11</v>
      </c>
      <c r="B18" s="40">
        <v>4</v>
      </c>
      <c r="C18" s="41"/>
      <c r="D18" s="166"/>
      <c r="E18" s="167"/>
      <c r="F18" s="69"/>
      <c r="G18" s="43"/>
      <c r="H18" s="87">
        <v>2</v>
      </c>
      <c r="I18" s="88"/>
      <c r="J18" s="42"/>
      <c r="K18" s="43"/>
      <c r="L18" s="58"/>
      <c r="M18" s="50"/>
      <c r="N18" s="58"/>
      <c r="O18" s="50"/>
      <c r="P18" s="157"/>
      <c r="Q18" s="158"/>
      <c r="R18" s="58"/>
      <c r="S18" s="50"/>
      <c r="T18" s="51"/>
      <c r="U18" s="50"/>
      <c r="V18" s="58"/>
      <c r="W18" s="50"/>
      <c r="X18" s="51"/>
      <c r="Y18" s="50"/>
      <c r="Z18" s="58"/>
      <c r="AA18" s="50"/>
      <c r="AB18" s="51"/>
      <c r="AC18" s="50"/>
      <c r="AD18" s="51"/>
      <c r="AE18" s="50"/>
      <c r="AF18" s="58"/>
      <c r="AG18" s="50"/>
      <c r="AH18" s="51"/>
      <c r="AI18" s="50"/>
      <c r="AJ18" s="71"/>
      <c r="AK18" s="12">
        <v>6</v>
      </c>
      <c r="AL18" s="12">
        <v>1</v>
      </c>
      <c r="AM18" s="72"/>
      <c r="AN18" s="72"/>
    </row>
    <row r="19" spans="1:40" ht="16.5" thickBot="1">
      <c r="A19" s="35" t="s">
        <v>12</v>
      </c>
      <c r="B19" s="40">
        <v>4</v>
      </c>
      <c r="C19" s="41"/>
      <c r="D19" s="166"/>
      <c r="E19" s="167"/>
      <c r="F19" s="69"/>
      <c r="G19" s="43"/>
      <c r="H19" s="87">
        <v>2</v>
      </c>
      <c r="I19" s="88"/>
      <c r="J19" s="42"/>
      <c r="K19" s="43"/>
      <c r="L19" s="58"/>
      <c r="M19" s="50"/>
      <c r="N19" s="58"/>
      <c r="O19" s="50"/>
      <c r="P19" s="157"/>
      <c r="Q19" s="158"/>
      <c r="R19" s="58"/>
      <c r="S19" s="50"/>
      <c r="T19" s="51"/>
      <c r="U19" s="50"/>
      <c r="V19" s="58"/>
      <c r="W19" s="50"/>
      <c r="X19" s="51"/>
      <c r="Y19" s="50"/>
      <c r="Z19" s="58"/>
      <c r="AA19" s="50"/>
      <c r="AB19" s="51"/>
      <c r="AC19" s="50"/>
      <c r="AD19" s="51"/>
      <c r="AE19" s="50"/>
      <c r="AF19" s="58"/>
      <c r="AG19" s="50"/>
      <c r="AH19" s="51"/>
      <c r="AI19" s="50"/>
      <c r="AJ19" s="71"/>
      <c r="AK19" s="12">
        <v>6</v>
      </c>
      <c r="AL19" s="12">
        <v>1</v>
      </c>
      <c r="AM19" s="72"/>
      <c r="AN19" s="72"/>
    </row>
    <row r="20" spans="1:40" ht="17.25" thickTop="1" thickBot="1">
      <c r="A20" s="14" t="s">
        <v>15</v>
      </c>
      <c r="B20" s="15"/>
      <c r="C20" s="16"/>
      <c r="D20" s="145"/>
      <c r="E20" s="146"/>
      <c r="F20" s="15"/>
      <c r="G20" s="16"/>
      <c r="H20" s="17"/>
      <c r="I20" s="16"/>
      <c r="J20" s="17"/>
      <c r="K20" s="16"/>
      <c r="L20" s="15"/>
      <c r="M20" s="16"/>
      <c r="N20" s="15"/>
      <c r="O20" s="16"/>
      <c r="P20" s="160"/>
      <c r="Q20" s="161"/>
      <c r="R20" s="15"/>
      <c r="S20" s="16"/>
      <c r="T20" s="17"/>
      <c r="U20" s="16"/>
      <c r="V20" s="15"/>
      <c r="W20" s="16"/>
      <c r="X20" s="17"/>
      <c r="Y20" s="16"/>
      <c r="Z20" s="19">
        <v>4.3</v>
      </c>
      <c r="AA20" s="20"/>
      <c r="AB20" s="64"/>
      <c r="AC20" s="63"/>
      <c r="AD20" s="64"/>
      <c r="AE20" s="63"/>
      <c r="AF20" s="62"/>
      <c r="AG20" s="63"/>
      <c r="AH20" s="89"/>
      <c r="AI20" s="90"/>
      <c r="AJ20" s="162"/>
      <c r="AK20" s="162"/>
      <c r="AL20" s="32">
        <v>0.96</v>
      </c>
      <c r="AM20" s="85">
        <v>4.3</v>
      </c>
      <c r="AN20" s="86">
        <v>0.86</v>
      </c>
    </row>
    <row r="21" spans="1:40" ht="16.5" thickTop="1">
      <c r="A21" s="35" t="s">
        <v>8</v>
      </c>
      <c r="B21" s="58"/>
      <c r="C21" s="50"/>
      <c r="D21" s="155"/>
      <c r="E21" s="156"/>
      <c r="F21" s="58"/>
      <c r="G21" s="50"/>
      <c r="H21" s="51"/>
      <c r="I21" s="50"/>
      <c r="J21" s="51"/>
      <c r="K21" s="50"/>
      <c r="L21" s="58"/>
      <c r="M21" s="50"/>
      <c r="N21" s="58"/>
      <c r="O21" s="50"/>
      <c r="P21" s="155"/>
      <c r="Q21" s="156"/>
      <c r="R21" s="58"/>
      <c r="S21" s="50"/>
      <c r="T21" s="51"/>
      <c r="U21" s="50"/>
      <c r="V21" s="58"/>
      <c r="W21" s="50" t="s">
        <v>16</v>
      </c>
      <c r="X21" s="51"/>
      <c r="Y21" s="50"/>
      <c r="Z21" s="40">
        <v>9</v>
      </c>
      <c r="AA21" s="41"/>
      <c r="AB21" s="42"/>
      <c r="AC21" s="43"/>
      <c r="AD21" s="42"/>
      <c r="AE21" s="43"/>
      <c r="AF21" s="69"/>
      <c r="AG21" s="43"/>
      <c r="AH21" s="87"/>
      <c r="AI21" s="88"/>
      <c r="AJ21" s="71"/>
      <c r="AK21" s="12">
        <v>9</v>
      </c>
      <c r="AL21" s="12">
        <v>0.9</v>
      </c>
      <c r="AM21" s="72"/>
      <c r="AN21" s="72"/>
    </row>
    <row r="22" spans="1:40" ht="15.75">
      <c r="A22" s="35" t="s">
        <v>9</v>
      </c>
      <c r="B22" s="58"/>
      <c r="C22" s="50"/>
      <c r="D22" s="157"/>
      <c r="E22" s="158"/>
      <c r="F22" s="58"/>
      <c r="G22" s="50"/>
      <c r="H22" s="51"/>
      <c r="I22" s="50"/>
      <c r="J22" s="51"/>
      <c r="K22" s="50"/>
      <c r="L22" s="58"/>
      <c r="M22" s="50"/>
      <c r="N22" s="58"/>
      <c r="O22" s="50"/>
      <c r="P22" s="157"/>
      <c r="Q22" s="158"/>
      <c r="R22" s="58"/>
      <c r="S22" s="50"/>
      <c r="T22" s="51"/>
      <c r="U22" s="50"/>
      <c r="V22" s="58"/>
      <c r="W22" s="50"/>
      <c r="X22" s="51"/>
      <c r="Y22" s="50"/>
      <c r="Z22" s="40">
        <v>9</v>
      </c>
      <c r="AA22" s="41"/>
      <c r="AB22" s="42"/>
      <c r="AC22" s="43"/>
      <c r="AD22" s="42"/>
      <c r="AE22" s="43"/>
      <c r="AF22" s="69"/>
      <c r="AG22" s="43"/>
      <c r="AH22" s="87"/>
      <c r="AI22" s="88"/>
      <c r="AJ22" s="71"/>
      <c r="AK22" s="12">
        <v>9</v>
      </c>
      <c r="AL22" s="12">
        <v>0.9</v>
      </c>
      <c r="AM22" s="72"/>
      <c r="AN22" s="72"/>
    </row>
    <row r="23" spans="1:40" ht="15.75">
      <c r="A23" s="35" t="s">
        <v>10</v>
      </c>
      <c r="B23" s="58"/>
      <c r="C23" s="50"/>
      <c r="D23" s="157"/>
      <c r="E23" s="158"/>
      <c r="F23" s="58"/>
      <c r="G23" s="50"/>
      <c r="H23" s="51"/>
      <c r="I23" s="50"/>
      <c r="J23" s="51"/>
      <c r="K23" s="50"/>
      <c r="L23" s="58"/>
      <c r="M23" s="50"/>
      <c r="N23" s="58"/>
      <c r="O23" s="50"/>
      <c r="P23" s="157"/>
      <c r="Q23" s="158"/>
      <c r="R23" s="58"/>
      <c r="S23" s="50"/>
      <c r="T23" s="51"/>
      <c r="U23" s="50"/>
      <c r="V23" s="58"/>
      <c r="W23" s="50"/>
      <c r="X23" s="51"/>
      <c r="Y23" s="50"/>
      <c r="Z23" s="40">
        <v>10</v>
      </c>
      <c r="AA23" s="41"/>
      <c r="AB23" s="42"/>
      <c r="AC23" s="43"/>
      <c r="AD23" s="42"/>
      <c r="AE23" s="43"/>
      <c r="AF23" s="69"/>
      <c r="AG23" s="43"/>
      <c r="AH23" s="87"/>
      <c r="AI23" s="88"/>
      <c r="AJ23" s="71"/>
      <c r="AK23" s="12">
        <v>10</v>
      </c>
      <c r="AL23" s="12">
        <v>1</v>
      </c>
      <c r="AM23" s="72"/>
      <c r="AN23" s="72"/>
    </row>
    <row r="24" spans="1:40" ht="15.75">
      <c r="A24" s="35" t="s">
        <v>11</v>
      </c>
      <c r="B24" s="58"/>
      <c r="C24" s="50"/>
      <c r="D24" s="157"/>
      <c r="E24" s="158"/>
      <c r="F24" s="58"/>
      <c r="G24" s="50"/>
      <c r="H24" s="51"/>
      <c r="I24" s="50"/>
      <c r="J24" s="51"/>
      <c r="K24" s="50"/>
      <c r="L24" s="58"/>
      <c r="M24" s="50"/>
      <c r="N24" s="58"/>
      <c r="O24" s="50"/>
      <c r="P24" s="157"/>
      <c r="Q24" s="158"/>
      <c r="R24" s="58"/>
      <c r="S24" s="50"/>
      <c r="T24" s="51"/>
      <c r="U24" s="50"/>
      <c r="V24" s="58"/>
      <c r="W24" s="50"/>
      <c r="X24" s="51"/>
      <c r="Y24" s="50"/>
      <c r="Z24" s="40">
        <v>10</v>
      </c>
      <c r="AA24" s="41"/>
      <c r="AB24" s="42"/>
      <c r="AC24" s="43"/>
      <c r="AD24" s="42"/>
      <c r="AE24" s="43"/>
      <c r="AF24" s="69"/>
      <c r="AG24" s="43"/>
      <c r="AH24" s="87"/>
      <c r="AI24" s="88"/>
      <c r="AJ24" s="71"/>
      <c r="AK24" s="12">
        <v>10</v>
      </c>
      <c r="AL24" s="12">
        <v>1</v>
      </c>
      <c r="AM24" s="72"/>
      <c r="AN24" s="72"/>
    </row>
    <row r="25" spans="1:40" ht="16.5" thickBot="1">
      <c r="A25" s="35" t="s">
        <v>12</v>
      </c>
      <c r="B25" s="58"/>
      <c r="C25" s="50"/>
      <c r="D25" s="157"/>
      <c r="E25" s="158"/>
      <c r="F25" s="58"/>
      <c r="G25" s="50"/>
      <c r="H25" s="51"/>
      <c r="I25" s="50"/>
      <c r="J25" s="51"/>
      <c r="K25" s="50"/>
      <c r="L25" s="58"/>
      <c r="M25" s="50"/>
      <c r="N25" s="58"/>
      <c r="O25" s="50"/>
      <c r="P25" s="157"/>
      <c r="Q25" s="158"/>
      <c r="R25" s="58"/>
      <c r="S25" s="50"/>
      <c r="T25" s="51"/>
      <c r="U25" s="50"/>
      <c r="V25" s="58"/>
      <c r="W25" s="50"/>
      <c r="X25" s="51"/>
      <c r="Y25" s="50"/>
      <c r="Z25" s="40">
        <v>10</v>
      </c>
      <c r="AA25" s="41"/>
      <c r="AB25" s="42"/>
      <c r="AC25" s="43"/>
      <c r="AD25" s="42"/>
      <c r="AE25" s="43"/>
      <c r="AF25" s="69"/>
      <c r="AG25" s="43"/>
      <c r="AH25" s="87"/>
      <c r="AI25" s="88"/>
      <c r="AJ25" s="71"/>
      <c r="AK25" s="12">
        <v>10</v>
      </c>
      <c r="AL25" s="12">
        <v>1</v>
      </c>
      <c r="AM25" s="72"/>
      <c r="AN25" s="72"/>
    </row>
    <row r="26" spans="1:40" ht="17.25" thickTop="1" thickBot="1">
      <c r="A26" s="14" t="s">
        <v>17</v>
      </c>
      <c r="B26" s="19">
        <v>1</v>
      </c>
      <c r="C26" s="91"/>
      <c r="D26" s="175"/>
      <c r="E26" s="176"/>
      <c r="F26" s="78"/>
      <c r="G26" s="92"/>
      <c r="H26" s="80">
        <v>1</v>
      </c>
      <c r="I26" s="93"/>
      <c r="J26" s="80">
        <v>1</v>
      </c>
      <c r="K26" s="93"/>
      <c r="L26" s="15"/>
      <c r="M26" s="94"/>
      <c r="N26" s="21"/>
      <c r="O26" s="94"/>
      <c r="P26" s="147"/>
      <c r="Q26" s="148"/>
      <c r="R26" s="62"/>
      <c r="S26" s="92"/>
      <c r="T26" s="95">
        <v>1</v>
      </c>
      <c r="U26" s="91"/>
      <c r="V26" s="27">
        <v>1</v>
      </c>
      <c r="W26" s="93"/>
      <c r="X26" s="96">
        <v>1</v>
      </c>
      <c r="Y26" s="93"/>
      <c r="Z26" s="17"/>
      <c r="AA26" s="94"/>
      <c r="AB26" s="97"/>
      <c r="AC26" s="94"/>
      <c r="AD26" s="31"/>
      <c r="AE26" s="94"/>
      <c r="AF26" s="98"/>
      <c r="AG26" s="94"/>
      <c r="AH26" s="97"/>
      <c r="AI26" s="94"/>
      <c r="AJ26" s="172"/>
      <c r="AK26" s="172"/>
      <c r="AL26" s="32">
        <v>1</v>
      </c>
      <c r="AM26" s="85">
        <v>1</v>
      </c>
      <c r="AN26" s="86">
        <v>1</v>
      </c>
    </row>
    <row r="27" spans="1:40" ht="16.5" thickTop="1">
      <c r="A27" s="35" t="s">
        <v>18</v>
      </c>
      <c r="B27" s="40">
        <v>4</v>
      </c>
      <c r="C27" s="41"/>
      <c r="D27" s="164"/>
      <c r="E27" s="165"/>
      <c r="F27" s="69"/>
      <c r="G27" s="43"/>
      <c r="H27" s="87">
        <v>2</v>
      </c>
      <c r="I27" s="88"/>
      <c r="J27" s="87">
        <v>2</v>
      </c>
      <c r="K27" s="88"/>
      <c r="L27" s="58"/>
      <c r="M27" s="50"/>
      <c r="N27" s="58"/>
      <c r="O27" s="50"/>
      <c r="P27" s="155"/>
      <c r="Q27" s="156"/>
      <c r="R27" s="69"/>
      <c r="S27" s="43"/>
      <c r="T27" s="70">
        <v>1</v>
      </c>
      <c r="U27" s="41"/>
      <c r="V27" s="99">
        <v>7</v>
      </c>
      <c r="W27" s="88"/>
      <c r="X27" s="87">
        <v>1</v>
      </c>
      <c r="Y27" s="88"/>
      <c r="Z27" s="58"/>
      <c r="AA27" s="50"/>
      <c r="AB27" s="51"/>
      <c r="AC27" s="50"/>
      <c r="AD27" s="51"/>
      <c r="AE27" s="50"/>
      <c r="AF27" s="58"/>
      <c r="AG27" s="50"/>
      <c r="AH27" s="51"/>
      <c r="AI27" s="50"/>
      <c r="AJ27" s="71"/>
      <c r="AK27" s="12">
        <v>17</v>
      </c>
      <c r="AL27" s="12">
        <v>1</v>
      </c>
      <c r="AM27" s="72"/>
      <c r="AN27" s="72"/>
    </row>
    <row r="28" spans="1:40" ht="16.5" thickBot="1">
      <c r="A28" s="73" t="s">
        <v>19</v>
      </c>
      <c r="B28" s="100">
        <v>4</v>
      </c>
      <c r="C28" s="101"/>
      <c r="D28" s="173"/>
      <c r="E28" s="174"/>
      <c r="F28" s="102"/>
      <c r="G28" s="103"/>
      <c r="H28" s="104">
        <v>2</v>
      </c>
      <c r="I28" s="105"/>
      <c r="J28" s="104">
        <v>2</v>
      </c>
      <c r="K28" s="105"/>
      <c r="L28" s="106"/>
      <c r="M28" s="107"/>
      <c r="N28" s="106"/>
      <c r="O28" s="107"/>
      <c r="P28" s="157"/>
      <c r="Q28" s="158"/>
      <c r="R28" s="69"/>
      <c r="S28" s="43"/>
      <c r="T28" s="70">
        <v>1</v>
      </c>
      <c r="U28" s="41"/>
      <c r="V28" s="99">
        <v>7</v>
      </c>
      <c r="W28" s="88"/>
      <c r="X28" s="87">
        <v>1</v>
      </c>
      <c r="Y28" s="88"/>
      <c r="Z28" s="58"/>
      <c r="AA28" s="50"/>
      <c r="AB28" s="51"/>
      <c r="AC28" s="50"/>
      <c r="AD28" s="51"/>
      <c r="AE28" s="50"/>
      <c r="AF28" s="58"/>
      <c r="AG28" s="50"/>
      <c r="AH28" s="51"/>
      <c r="AI28" s="50"/>
      <c r="AJ28" s="71"/>
      <c r="AK28" s="12">
        <v>17</v>
      </c>
      <c r="AL28" s="12">
        <v>1</v>
      </c>
      <c r="AM28" s="74"/>
      <c r="AN28" s="74"/>
    </row>
    <row r="29" spans="1:40" ht="17.25" thickTop="1" thickBot="1">
      <c r="A29" s="14" t="s">
        <v>20</v>
      </c>
      <c r="B29" s="15"/>
      <c r="C29" s="16"/>
      <c r="D29" s="145"/>
      <c r="E29" s="146"/>
      <c r="F29" s="15"/>
      <c r="G29" s="16"/>
      <c r="H29" s="17"/>
      <c r="I29" s="16"/>
      <c r="J29" s="17"/>
      <c r="K29" s="16"/>
      <c r="L29" s="15"/>
      <c r="M29" s="16"/>
      <c r="N29" s="15"/>
      <c r="O29" s="16"/>
      <c r="P29" s="160"/>
      <c r="Q29" s="161"/>
      <c r="R29" s="15"/>
      <c r="S29" s="16"/>
      <c r="T29" s="17"/>
      <c r="U29" s="16"/>
      <c r="V29" s="15"/>
      <c r="W29" s="16"/>
      <c r="X29" s="17"/>
      <c r="Y29" s="16"/>
      <c r="Z29" s="62"/>
      <c r="AA29" s="63"/>
      <c r="AB29" s="65">
        <v>3.14</v>
      </c>
      <c r="AC29" s="20"/>
      <c r="AD29" s="64"/>
      <c r="AE29" s="63"/>
      <c r="AF29" s="15"/>
      <c r="AG29" s="16"/>
      <c r="AH29" s="17"/>
      <c r="AI29" s="16"/>
      <c r="AJ29" s="162"/>
      <c r="AK29" s="162"/>
      <c r="AL29" s="32">
        <v>0.63</v>
      </c>
      <c r="AM29" s="108">
        <v>3.14</v>
      </c>
      <c r="AN29" s="109">
        <v>0.628</v>
      </c>
    </row>
    <row r="30" spans="1:40" ht="16.5" thickTop="1">
      <c r="A30" s="35" t="s">
        <v>8</v>
      </c>
      <c r="B30" s="58"/>
      <c r="C30" s="50"/>
      <c r="D30" s="155"/>
      <c r="E30" s="156"/>
      <c r="F30" s="58"/>
      <c r="G30" s="50"/>
      <c r="H30" s="51"/>
      <c r="I30" s="50"/>
      <c r="J30" s="51"/>
      <c r="K30" s="50"/>
      <c r="L30" s="58"/>
      <c r="M30" s="50"/>
      <c r="N30" s="58"/>
      <c r="O30" s="50"/>
      <c r="P30" s="155"/>
      <c r="Q30" s="156"/>
      <c r="R30" s="58"/>
      <c r="S30" s="50"/>
      <c r="T30" s="51"/>
      <c r="U30" s="50"/>
      <c r="V30" s="58"/>
      <c r="W30" s="50"/>
      <c r="X30" s="51"/>
      <c r="Y30" s="50"/>
      <c r="Z30" s="69"/>
      <c r="AA30" s="43"/>
      <c r="AB30" s="70"/>
      <c r="AC30" s="41">
        <v>4</v>
      </c>
      <c r="AD30" s="42"/>
      <c r="AE30" s="43"/>
      <c r="AF30" s="58"/>
      <c r="AG30" s="50"/>
      <c r="AH30" s="51"/>
      <c r="AI30" s="50"/>
      <c r="AJ30" s="178"/>
      <c r="AK30" s="178"/>
      <c r="AL30" s="12"/>
      <c r="AM30" s="72"/>
      <c r="AN30" s="72"/>
    </row>
    <row r="31" spans="1:40" ht="15.75">
      <c r="A31" s="110" t="s">
        <v>9</v>
      </c>
      <c r="B31" s="58"/>
      <c r="C31" s="50"/>
      <c r="D31" s="157"/>
      <c r="E31" s="158"/>
      <c r="F31" s="58"/>
      <c r="G31" s="50"/>
      <c r="H31" s="51"/>
      <c r="I31" s="50"/>
      <c r="J31" s="51"/>
      <c r="K31" s="50"/>
      <c r="L31" s="58"/>
      <c r="M31" s="50"/>
      <c r="N31" s="58"/>
      <c r="O31" s="50"/>
      <c r="P31" s="157"/>
      <c r="Q31" s="158"/>
      <c r="R31" s="58"/>
      <c r="S31" s="50"/>
      <c r="T31" s="51"/>
      <c r="U31" s="50"/>
      <c r="V31" s="58"/>
      <c r="W31" s="50"/>
      <c r="X31" s="51"/>
      <c r="Y31" s="50"/>
      <c r="Z31" s="69"/>
      <c r="AA31" s="43"/>
      <c r="AB31" s="70">
        <v>3</v>
      </c>
      <c r="AC31" s="41"/>
      <c r="AD31" s="42"/>
      <c r="AE31" s="43"/>
      <c r="AF31" s="58"/>
      <c r="AG31" s="50"/>
      <c r="AH31" s="51"/>
      <c r="AI31" s="50"/>
      <c r="AJ31" s="71"/>
      <c r="AK31" s="12">
        <v>3</v>
      </c>
      <c r="AL31" s="111">
        <v>0.43</v>
      </c>
      <c r="AM31" s="72"/>
      <c r="AN31" s="72"/>
    </row>
    <row r="32" spans="1:40" ht="15.75">
      <c r="A32" s="35" t="s">
        <v>10</v>
      </c>
      <c r="B32" s="58"/>
      <c r="C32" s="50"/>
      <c r="D32" s="157"/>
      <c r="E32" s="158"/>
      <c r="F32" s="58"/>
      <c r="G32" s="50"/>
      <c r="H32" s="51"/>
      <c r="I32" s="50"/>
      <c r="J32" s="51"/>
      <c r="K32" s="50"/>
      <c r="L32" s="58"/>
      <c r="M32" s="50"/>
      <c r="N32" s="58"/>
      <c r="O32" s="50"/>
      <c r="P32" s="157"/>
      <c r="Q32" s="158"/>
      <c r="R32" s="58"/>
      <c r="S32" s="50"/>
      <c r="T32" s="51"/>
      <c r="U32" s="50"/>
      <c r="V32" s="58"/>
      <c r="W32" s="50"/>
      <c r="X32" s="51"/>
      <c r="Y32" s="50"/>
      <c r="Z32" s="69"/>
      <c r="AA32" s="43"/>
      <c r="AB32" s="70"/>
      <c r="AC32" s="41">
        <v>1</v>
      </c>
      <c r="AD32" s="42"/>
      <c r="AE32" s="43"/>
      <c r="AF32" s="58"/>
      <c r="AG32" s="50"/>
      <c r="AH32" s="51"/>
      <c r="AI32" s="50"/>
      <c r="AJ32" s="177"/>
      <c r="AK32" s="177"/>
      <c r="AL32" s="111"/>
      <c r="AM32" s="72"/>
      <c r="AN32" s="72"/>
    </row>
    <row r="33" spans="1:40" ht="15.75">
      <c r="A33" s="110" t="s">
        <v>11</v>
      </c>
      <c r="B33" s="58"/>
      <c r="C33" s="50"/>
      <c r="D33" s="157"/>
      <c r="E33" s="158"/>
      <c r="F33" s="58"/>
      <c r="G33" s="50"/>
      <c r="H33" s="51"/>
      <c r="I33" s="50"/>
      <c r="J33" s="51"/>
      <c r="K33" s="50"/>
      <c r="L33" s="58"/>
      <c r="M33" s="50"/>
      <c r="N33" s="58"/>
      <c r="O33" s="50"/>
      <c r="P33" s="157"/>
      <c r="Q33" s="158"/>
      <c r="R33" s="58"/>
      <c r="S33" s="50"/>
      <c r="T33" s="51"/>
      <c r="U33" s="50"/>
      <c r="V33" s="58"/>
      <c r="W33" s="50"/>
      <c r="X33" s="51"/>
      <c r="Y33" s="50"/>
      <c r="Z33" s="69"/>
      <c r="AA33" s="43"/>
      <c r="AB33" s="70">
        <v>5</v>
      </c>
      <c r="AC33" s="41"/>
      <c r="AD33" s="42"/>
      <c r="AE33" s="43"/>
      <c r="AF33" s="58"/>
      <c r="AG33" s="50"/>
      <c r="AH33" s="51"/>
      <c r="AI33" s="50"/>
      <c r="AJ33" s="71"/>
      <c r="AK33" s="12">
        <v>5</v>
      </c>
      <c r="AL33" s="111">
        <v>0.71</v>
      </c>
      <c r="AM33" s="72"/>
      <c r="AN33" s="72"/>
    </row>
    <row r="34" spans="1:40" ht="15.75">
      <c r="A34" s="35" t="s">
        <v>12</v>
      </c>
      <c r="B34" s="58"/>
      <c r="C34" s="50"/>
      <c r="D34" s="157"/>
      <c r="E34" s="158"/>
      <c r="F34" s="58"/>
      <c r="G34" s="50"/>
      <c r="H34" s="51"/>
      <c r="I34" s="50"/>
      <c r="J34" s="51"/>
      <c r="K34" s="50"/>
      <c r="L34" s="58"/>
      <c r="M34" s="50"/>
      <c r="N34" s="58"/>
      <c r="O34" s="50"/>
      <c r="P34" s="157"/>
      <c r="Q34" s="158"/>
      <c r="R34" s="58"/>
      <c r="S34" s="50"/>
      <c r="T34" s="51"/>
      <c r="U34" s="50"/>
      <c r="V34" s="58"/>
      <c r="W34" s="50"/>
      <c r="X34" s="51"/>
      <c r="Y34" s="50"/>
      <c r="Z34" s="69"/>
      <c r="AA34" s="43"/>
      <c r="AB34" s="70"/>
      <c r="AC34" s="41"/>
      <c r="AD34" s="42"/>
      <c r="AE34" s="43"/>
      <c r="AF34" s="58"/>
      <c r="AG34" s="50"/>
      <c r="AH34" s="51"/>
      <c r="AI34" s="50"/>
      <c r="AJ34" s="177"/>
      <c r="AK34" s="177"/>
      <c r="AL34" s="111"/>
      <c r="AM34" s="72"/>
      <c r="AN34" s="72"/>
    </row>
    <row r="35" spans="1:40" ht="15.75">
      <c r="A35" s="110" t="s">
        <v>21</v>
      </c>
      <c r="B35" s="58"/>
      <c r="C35" s="50"/>
      <c r="D35" s="157"/>
      <c r="E35" s="158"/>
      <c r="F35" s="58"/>
      <c r="G35" s="50"/>
      <c r="H35" s="51"/>
      <c r="I35" s="50"/>
      <c r="J35" s="51"/>
      <c r="K35" s="50"/>
      <c r="L35" s="58"/>
      <c r="M35" s="50"/>
      <c r="N35" s="58"/>
      <c r="O35" s="50"/>
      <c r="P35" s="157"/>
      <c r="Q35" s="158"/>
      <c r="R35" s="58"/>
      <c r="S35" s="50"/>
      <c r="T35" s="51"/>
      <c r="U35" s="50"/>
      <c r="V35" s="58"/>
      <c r="W35" s="50"/>
      <c r="X35" s="51"/>
      <c r="Y35" s="50"/>
      <c r="Z35" s="69"/>
      <c r="AA35" s="43"/>
      <c r="AB35" s="70">
        <v>6</v>
      </c>
      <c r="AC35" s="41">
        <v>1</v>
      </c>
      <c r="AD35" s="42"/>
      <c r="AE35" s="43"/>
      <c r="AF35" s="58"/>
      <c r="AG35" s="50"/>
      <c r="AH35" s="51"/>
      <c r="AI35" s="50"/>
      <c r="AJ35" s="71"/>
      <c r="AK35" s="12">
        <v>7</v>
      </c>
      <c r="AL35" s="111">
        <v>1</v>
      </c>
      <c r="AM35" s="112"/>
      <c r="AN35" s="112"/>
    </row>
    <row r="36" spans="1:40" ht="15.75">
      <c r="A36" s="35" t="s">
        <v>22</v>
      </c>
      <c r="B36" s="58"/>
      <c r="C36" s="50"/>
      <c r="D36" s="157"/>
      <c r="E36" s="158"/>
      <c r="F36" s="58"/>
      <c r="G36" s="50"/>
      <c r="H36" s="51"/>
      <c r="I36" s="50"/>
      <c r="J36" s="51"/>
      <c r="K36" s="50"/>
      <c r="L36" s="58"/>
      <c r="M36" s="50"/>
      <c r="N36" s="58"/>
      <c r="O36" s="50"/>
      <c r="P36" s="157"/>
      <c r="Q36" s="158"/>
      <c r="R36" s="58"/>
      <c r="S36" s="50"/>
      <c r="T36" s="51"/>
      <c r="U36" s="50"/>
      <c r="V36" s="58"/>
      <c r="W36" s="50"/>
      <c r="X36" s="51"/>
      <c r="Y36" s="50"/>
      <c r="Z36" s="69"/>
      <c r="AA36" s="43"/>
      <c r="AB36" s="70"/>
      <c r="AC36" s="41"/>
      <c r="AD36" s="42"/>
      <c r="AE36" s="43"/>
      <c r="AF36" s="58"/>
      <c r="AG36" s="50"/>
      <c r="AH36" s="51"/>
      <c r="AI36" s="50"/>
      <c r="AJ36" s="177"/>
      <c r="AK36" s="177"/>
      <c r="AL36" s="111"/>
      <c r="AM36" s="72"/>
      <c r="AN36" s="72"/>
    </row>
    <row r="37" spans="1:40" ht="15.75">
      <c r="A37" s="35" t="s">
        <v>23</v>
      </c>
      <c r="B37" s="58"/>
      <c r="C37" s="50"/>
      <c r="D37" s="157"/>
      <c r="E37" s="158"/>
      <c r="F37" s="58"/>
      <c r="G37" s="50"/>
      <c r="H37" s="51"/>
      <c r="I37" s="50"/>
      <c r="J37" s="51"/>
      <c r="K37" s="50"/>
      <c r="L37" s="58"/>
      <c r="M37" s="50"/>
      <c r="N37" s="58"/>
      <c r="O37" s="50"/>
      <c r="P37" s="157"/>
      <c r="Q37" s="158"/>
      <c r="R37" s="58"/>
      <c r="S37" s="50"/>
      <c r="T37" s="51"/>
      <c r="U37" s="50"/>
      <c r="V37" s="58"/>
      <c r="W37" s="50"/>
      <c r="X37" s="51"/>
      <c r="Y37" s="50"/>
      <c r="Z37" s="69"/>
      <c r="AA37" s="43"/>
      <c r="AB37" s="70"/>
      <c r="AC37" s="41"/>
      <c r="AD37" s="42"/>
      <c r="AE37" s="43"/>
      <c r="AF37" s="58"/>
      <c r="AG37" s="50"/>
      <c r="AH37" s="51"/>
      <c r="AI37" s="50"/>
      <c r="AJ37" s="177"/>
      <c r="AK37" s="177"/>
      <c r="AL37" s="111"/>
      <c r="AM37" s="72"/>
      <c r="AN37" s="72"/>
    </row>
    <row r="38" spans="1:40" ht="15.75">
      <c r="A38" s="35" t="s">
        <v>24</v>
      </c>
      <c r="B38" s="58"/>
      <c r="C38" s="50"/>
      <c r="D38" s="157"/>
      <c r="E38" s="158"/>
      <c r="F38" s="58"/>
      <c r="G38" s="50"/>
      <c r="H38" s="51"/>
      <c r="I38" s="50"/>
      <c r="J38" s="51"/>
      <c r="K38" s="50"/>
      <c r="L38" s="58"/>
      <c r="M38" s="50"/>
      <c r="N38" s="58"/>
      <c r="O38" s="50"/>
      <c r="P38" s="157"/>
      <c r="Q38" s="158"/>
      <c r="R38" s="58"/>
      <c r="S38" s="50"/>
      <c r="T38" s="51"/>
      <c r="U38" s="50"/>
      <c r="V38" s="58"/>
      <c r="W38" s="50"/>
      <c r="X38" s="51"/>
      <c r="Y38" s="50"/>
      <c r="Z38" s="69"/>
      <c r="AA38" s="43"/>
      <c r="AB38" s="70"/>
      <c r="AC38" s="41">
        <v>2</v>
      </c>
      <c r="AD38" s="42"/>
      <c r="AE38" s="43"/>
      <c r="AF38" s="58"/>
      <c r="AG38" s="50"/>
      <c r="AH38" s="51"/>
      <c r="AI38" s="50"/>
      <c r="AJ38" s="177"/>
      <c r="AK38" s="177"/>
      <c r="AL38" s="111"/>
      <c r="AM38" s="72"/>
      <c r="AN38" s="72"/>
    </row>
    <row r="39" spans="1:40" ht="15.75">
      <c r="A39" s="110" t="s">
        <v>25</v>
      </c>
      <c r="B39" s="58"/>
      <c r="C39" s="50"/>
      <c r="D39" s="157"/>
      <c r="E39" s="158"/>
      <c r="F39" s="58"/>
      <c r="G39" s="50"/>
      <c r="H39" s="51"/>
      <c r="I39" s="50"/>
      <c r="J39" s="51"/>
      <c r="K39" s="50"/>
      <c r="L39" s="58"/>
      <c r="M39" s="50"/>
      <c r="N39" s="58"/>
      <c r="O39" s="50"/>
      <c r="P39" s="157"/>
      <c r="Q39" s="158"/>
      <c r="R39" s="58"/>
      <c r="S39" s="50"/>
      <c r="T39" s="51"/>
      <c r="U39" s="50"/>
      <c r="V39" s="58"/>
      <c r="W39" s="50"/>
      <c r="X39" s="51"/>
      <c r="Y39" s="50"/>
      <c r="Z39" s="69"/>
      <c r="AA39" s="43"/>
      <c r="AB39" s="70">
        <v>2</v>
      </c>
      <c r="AC39" s="41"/>
      <c r="AD39" s="42"/>
      <c r="AE39" s="43"/>
      <c r="AF39" s="58"/>
      <c r="AG39" s="50"/>
      <c r="AH39" s="51"/>
      <c r="AI39" s="50"/>
      <c r="AJ39" s="71"/>
      <c r="AK39" s="12">
        <v>2</v>
      </c>
      <c r="AL39" s="111">
        <v>0.28999999999999998</v>
      </c>
      <c r="AM39" s="112"/>
      <c r="AN39" s="112"/>
    </row>
    <row r="40" spans="1:40" ht="15.75">
      <c r="A40" s="35" t="s">
        <v>26</v>
      </c>
      <c r="B40" s="58"/>
      <c r="C40" s="50"/>
      <c r="D40" s="157"/>
      <c r="E40" s="158"/>
      <c r="F40" s="58"/>
      <c r="G40" s="50"/>
      <c r="H40" s="51"/>
      <c r="I40" s="50"/>
      <c r="J40" s="51"/>
      <c r="K40" s="50"/>
      <c r="L40" s="58"/>
      <c r="M40" s="50"/>
      <c r="N40" s="58"/>
      <c r="O40" s="50"/>
      <c r="P40" s="157"/>
      <c r="Q40" s="158"/>
      <c r="R40" s="58"/>
      <c r="S40" s="50"/>
      <c r="T40" s="51"/>
      <c r="U40" s="50"/>
      <c r="V40" s="58"/>
      <c r="W40" s="50"/>
      <c r="X40" s="51"/>
      <c r="Y40" s="50"/>
      <c r="Z40" s="69"/>
      <c r="AA40" s="43"/>
      <c r="AB40" s="70"/>
      <c r="AC40" s="41">
        <v>3</v>
      </c>
      <c r="AD40" s="42"/>
      <c r="AE40" s="43"/>
      <c r="AF40" s="58"/>
      <c r="AG40" s="50"/>
      <c r="AH40" s="51"/>
      <c r="AI40" s="50"/>
      <c r="AJ40" s="177"/>
      <c r="AK40" s="177"/>
      <c r="AL40" s="111"/>
      <c r="AM40" s="72"/>
      <c r="AN40" s="72"/>
    </row>
    <row r="41" spans="1:40" ht="15.75">
      <c r="A41" s="35" t="s">
        <v>27</v>
      </c>
      <c r="B41" s="58"/>
      <c r="C41" s="50"/>
      <c r="D41" s="157"/>
      <c r="E41" s="158"/>
      <c r="F41" s="58"/>
      <c r="G41" s="50"/>
      <c r="H41" s="51"/>
      <c r="I41" s="50"/>
      <c r="J41" s="51"/>
      <c r="K41" s="50"/>
      <c r="L41" s="58"/>
      <c r="M41" s="50"/>
      <c r="N41" s="58"/>
      <c r="O41" s="50"/>
      <c r="P41" s="157"/>
      <c r="Q41" s="158"/>
      <c r="R41" s="58"/>
      <c r="S41" s="50"/>
      <c r="T41" s="51"/>
      <c r="U41" s="50"/>
      <c r="V41" s="58"/>
      <c r="W41" s="50"/>
      <c r="X41" s="51"/>
      <c r="Y41" s="50"/>
      <c r="Z41" s="69"/>
      <c r="AA41" s="43"/>
      <c r="AB41" s="70"/>
      <c r="AC41" s="41">
        <v>2</v>
      </c>
      <c r="AD41" s="42"/>
      <c r="AE41" s="43"/>
      <c r="AF41" s="58"/>
      <c r="AG41" s="50"/>
      <c r="AH41" s="51"/>
      <c r="AI41" s="50"/>
      <c r="AJ41" s="177"/>
      <c r="AK41" s="177"/>
      <c r="AL41" s="111"/>
      <c r="AM41" s="72"/>
      <c r="AN41" s="72"/>
    </row>
    <row r="42" spans="1:40" ht="15.75">
      <c r="A42" s="110" t="s">
        <v>28</v>
      </c>
      <c r="B42" s="58"/>
      <c r="C42" s="50"/>
      <c r="D42" s="157"/>
      <c r="E42" s="158"/>
      <c r="F42" s="58"/>
      <c r="G42" s="50"/>
      <c r="H42" s="51"/>
      <c r="I42" s="50"/>
      <c r="J42" s="51"/>
      <c r="K42" s="50"/>
      <c r="L42" s="58"/>
      <c r="M42" s="50"/>
      <c r="N42" s="58"/>
      <c r="O42" s="50"/>
      <c r="P42" s="157"/>
      <c r="Q42" s="158"/>
      <c r="R42" s="58"/>
      <c r="S42" s="50"/>
      <c r="T42" s="51"/>
      <c r="U42" s="50"/>
      <c r="V42" s="58"/>
      <c r="W42" s="50"/>
      <c r="X42" s="51"/>
      <c r="Y42" s="50"/>
      <c r="Z42" s="69"/>
      <c r="AA42" s="43"/>
      <c r="AB42" s="70">
        <v>5</v>
      </c>
      <c r="AC42" s="41"/>
      <c r="AD42" s="42"/>
      <c r="AE42" s="43"/>
      <c r="AF42" s="58"/>
      <c r="AG42" s="50"/>
      <c r="AH42" s="51"/>
      <c r="AI42" s="50"/>
      <c r="AJ42" s="71"/>
      <c r="AK42" s="12">
        <v>5</v>
      </c>
      <c r="AL42" s="111">
        <v>0.71</v>
      </c>
      <c r="AM42" s="112"/>
      <c r="AN42" s="112"/>
    </row>
    <row r="43" spans="1:40" ht="16.5" thickBot="1">
      <c r="A43" s="73" t="s">
        <v>29</v>
      </c>
      <c r="B43" s="106"/>
      <c r="C43" s="107"/>
      <c r="D43" s="182"/>
      <c r="E43" s="183"/>
      <c r="F43" s="106"/>
      <c r="G43" s="107"/>
      <c r="H43" s="113"/>
      <c r="I43" s="107"/>
      <c r="J43" s="113"/>
      <c r="K43" s="107"/>
      <c r="L43" s="106"/>
      <c r="M43" s="107"/>
      <c r="N43" s="106"/>
      <c r="O43" s="107"/>
      <c r="P43" s="182"/>
      <c r="Q43" s="183"/>
      <c r="R43" s="106"/>
      <c r="S43" s="107"/>
      <c r="T43" s="51"/>
      <c r="U43" s="50"/>
      <c r="V43" s="58"/>
      <c r="W43" s="50"/>
      <c r="X43" s="51"/>
      <c r="Y43" s="50"/>
      <c r="Z43" s="69"/>
      <c r="AA43" s="43"/>
      <c r="AB43" s="70"/>
      <c r="AC43" s="41"/>
      <c r="AD43" s="42"/>
      <c r="AE43" s="43"/>
      <c r="AF43" s="58"/>
      <c r="AG43" s="50"/>
      <c r="AH43" s="51"/>
      <c r="AI43" s="50"/>
      <c r="AJ43" s="177"/>
      <c r="AK43" s="177"/>
      <c r="AL43" s="111"/>
      <c r="AM43" s="114"/>
      <c r="AN43" s="114"/>
    </row>
    <row r="44" spans="1:40" ht="16.5" thickTop="1">
      <c r="A44" s="121" t="s">
        <v>40</v>
      </c>
      <c r="B44" s="122">
        <v>4</v>
      </c>
      <c r="C44" s="123"/>
      <c r="D44" s="124">
        <v>3</v>
      </c>
      <c r="E44" s="124"/>
      <c r="F44" s="122"/>
      <c r="G44" s="123">
        <v>2</v>
      </c>
      <c r="H44" s="124"/>
      <c r="I44" s="123">
        <v>2</v>
      </c>
      <c r="J44" s="124"/>
      <c r="K44" s="123">
        <v>2</v>
      </c>
      <c r="L44" s="125"/>
      <c r="M44" s="126">
        <v>1</v>
      </c>
      <c r="N44" s="125"/>
      <c r="O44" s="126">
        <v>4</v>
      </c>
      <c r="P44" s="179">
        <v>1</v>
      </c>
      <c r="Q44" s="180"/>
      <c r="R44" s="125">
        <v>7</v>
      </c>
      <c r="S44" s="126"/>
      <c r="T44" s="127">
        <v>1</v>
      </c>
      <c r="U44" s="126"/>
      <c r="V44" s="125">
        <v>7</v>
      </c>
      <c r="W44" s="126"/>
      <c r="X44" s="127">
        <v>1</v>
      </c>
      <c r="Y44" s="126"/>
      <c r="Z44" s="125">
        <v>10</v>
      </c>
      <c r="AA44" s="126"/>
      <c r="AB44" s="127">
        <v>7</v>
      </c>
      <c r="AC44" s="126"/>
      <c r="AD44" s="127">
        <v>2</v>
      </c>
      <c r="AE44" s="126"/>
      <c r="AF44" s="125"/>
      <c r="AG44" s="126"/>
      <c r="AH44" s="127"/>
      <c r="AI44" s="126"/>
      <c r="AJ44" s="181"/>
      <c r="AK44" s="181"/>
      <c r="AL44" s="128"/>
      <c r="AM44" s="129"/>
      <c r="AN44" s="129"/>
    </row>
  </sheetData>
  <mergeCells count="107">
    <mergeCell ref="P44:Q44"/>
    <mergeCell ref="AJ44:AK44"/>
    <mergeCell ref="D41:E41"/>
    <mergeCell ref="P41:Q41"/>
    <mergeCell ref="AJ41:AK41"/>
    <mergeCell ref="D42:E42"/>
    <mergeCell ref="P42:Q42"/>
    <mergeCell ref="D43:E43"/>
    <mergeCell ref="P43:Q43"/>
    <mergeCell ref="AJ43:AK43"/>
    <mergeCell ref="D38:E38"/>
    <mergeCell ref="P38:Q38"/>
    <mergeCell ref="AJ38:AK38"/>
    <mergeCell ref="D39:E39"/>
    <mergeCell ref="P39:Q39"/>
    <mergeCell ref="D40:E40"/>
    <mergeCell ref="P40:Q40"/>
    <mergeCell ref="AJ40:AK40"/>
    <mergeCell ref="D36:E36"/>
    <mergeCell ref="P36:Q36"/>
    <mergeCell ref="AJ36:AK36"/>
    <mergeCell ref="D37:E37"/>
    <mergeCell ref="P37:Q37"/>
    <mergeCell ref="AJ37:AK37"/>
    <mergeCell ref="D33:E33"/>
    <mergeCell ref="P33:Q33"/>
    <mergeCell ref="D34:E34"/>
    <mergeCell ref="P34:Q34"/>
    <mergeCell ref="AJ34:AK34"/>
    <mergeCell ref="D35:E35"/>
    <mergeCell ref="P35:Q35"/>
    <mergeCell ref="D30:E30"/>
    <mergeCell ref="P30:Q30"/>
    <mergeCell ref="AJ30:AK30"/>
    <mergeCell ref="D31:E31"/>
    <mergeCell ref="P31:Q31"/>
    <mergeCell ref="D32:E32"/>
    <mergeCell ref="P32:Q32"/>
    <mergeCell ref="AJ32:AK32"/>
    <mergeCell ref="AJ26:AK26"/>
    <mergeCell ref="D27:E27"/>
    <mergeCell ref="P27:Q27"/>
    <mergeCell ref="D28:E28"/>
    <mergeCell ref="P28:Q28"/>
    <mergeCell ref="D29:E29"/>
    <mergeCell ref="P29:Q29"/>
    <mergeCell ref="AJ29:AK29"/>
    <mergeCell ref="D24:E24"/>
    <mergeCell ref="P24:Q24"/>
    <mergeCell ref="D25:E25"/>
    <mergeCell ref="P25:Q25"/>
    <mergeCell ref="D26:E26"/>
    <mergeCell ref="P26:Q26"/>
    <mergeCell ref="AJ20:AK20"/>
    <mergeCell ref="D21:E21"/>
    <mergeCell ref="P21:Q21"/>
    <mergeCell ref="D22:E22"/>
    <mergeCell ref="P22:Q22"/>
    <mergeCell ref="D23:E23"/>
    <mergeCell ref="P23:Q23"/>
    <mergeCell ref="D18:E18"/>
    <mergeCell ref="P18:Q18"/>
    <mergeCell ref="D19:E19"/>
    <mergeCell ref="P19:Q19"/>
    <mergeCell ref="D20:E20"/>
    <mergeCell ref="P20:Q20"/>
    <mergeCell ref="AJ14:AK14"/>
    <mergeCell ref="D15:E15"/>
    <mergeCell ref="P15:Q15"/>
    <mergeCell ref="D16:E16"/>
    <mergeCell ref="P16:Q16"/>
    <mergeCell ref="D17:E17"/>
    <mergeCell ref="P17:Q17"/>
    <mergeCell ref="D12:E12"/>
    <mergeCell ref="P12:Q12"/>
    <mergeCell ref="D13:E13"/>
    <mergeCell ref="P13:Q13"/>
    <mergeCell ref="D14:E14"/>
    <mergeCell ref="P14:Q14"/>
    <mergeCell ref="D9:E9"/>
    <mergeCell ref="P9:Q9"/>
    <mergeCell ref="D10:E10"/>
    <mergeCell ref="P10:Q10"/>
    <mergeCell ref="D11:E11"/>
    <mergeCell ref="P11:Q11"/>
    <mergeCell ref="D6:E6"/>
    <mergeCell ref="P6:Q6"/>
    <mergeCell ref="AJ6:AK6"/>
    <mergeCell ref="D7:E7"/>
    <mergeCell ref="P7:Q7"/>
    <mergeCell ref="D8:E8"/>
    <mergeCell ref="P8:Q8"/>
    <mergeCell ref="AJ8:AK8"/>
    <mergeCell ref="D4:E4"/>
    <mergeCell ref="P4:Q4"/>
    <mergeCell ref="AJ4:AK4"/>
    <mergeCell ref="D5:E5"/>
    <mergeCell ref="P5:Q5"/>
    <mergeCell ref="AJ5:AK5"/>
    <mergeCell ref="D1:E1"/>
    <mergeCell ref="P1:Q1"/>
    <mergeCell ref="D2:E2"/>
    <mergeCell ref="P2:Q2"/>
    <mergeCell ref="AJ2:AK2"/>
    <mergeCell ref="D3:E3"/>
    <mergeCell ref="P3:Q3"/>
    <mergeCell ref="AJ3:A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FF83-3854-4979-844F-A36A3E292047}">
  <dimension ref="A1:J67"/>
  <sheetViews>
    <sheetView tabSelected="1" workbookViewId="0">
      <selection activeCell="K1" sqref="K1"/>
    </sheetView>
  </sheetViews>
  <sheetFormatPr defaultRowHeight="15"/>
  <cols>
    <col min="1" max="1" width="18.28515625" bestFit="1" customWidth="1"/>
    <col min="2" max="2" width="20.28515625" bestFit="1" customWidth="1"/>
    <col min="3" max="3" width="20" bestFit="1" customWidth="1"/>
    <col min="4" max="4" width="12.140625" bestFit="1" customWidth="1"/>
    <col min="5" max="5" width="12.140625" customWidth="1"/>
    <col min="6" max="6" width="25.42578125" style="133" bestFit="1" customWidth="1"/>
    <col min="7" max="7" width="33" bestFit="1" customWidth="1"/>
    <col min="8" max="8" width="35.42578125" bestFit="1" customWidth="1"/>
    <col min="9" max="9" width="33" bestFit="1" customWidth="1"/>
    <col min="10" max="10" width="36.7109375" bestFit="1" customWidth="1"/>
  </cols>
  <sheetData>
    <row r="1" spans="1:10" ht="20.25" thickBot="1">
      <c r="A1" s="115" t="s">
        <v>31</v>
      </c>
      <c r="B1" s="115" t="s">
        <v>32</v>
      </c>
      <c r="C1" s="115" t="s">
        <v>60</v>
      </c>
      <c r="D1" s="116" t="s">
        <v>33</v>
      </c>
      <c r="E1" s="116" t="s">
        <v>30</v>
      </c>
      <c r="F1" s="132" t="s">
        <v>45</v>
      </c>
      <c r="G1" s="115" t="s">
        <v>38</v>
      </c>
      <c r="H1" s="115" t="s">
        <v>39</v>
      </c>
      <c r="I1" s="115" t="s">
        <v>46</v>
      </c>
      <c r="J1" s="115" t="s">
        <v>47</v>
      </c>
    </row>
    <row r="2" spans="1:10" ht="15.75" thickTop="1">
      <c r="A2" t="s">
        <v>34</v>
      </c>
      <c r="B2" t="s">
        <v>8</v>
      </c>
      <c r="D2" s="2">
        <v>45778</v>
      </c>
      <c r="E2" s="2" t="s">
        <v>36</v>
      </c>
      <c r="F2" s="133">
        <v>1</v>
      </c>
      <c r="G2">
        <v>0</v>
      </c>
      <c r="H2">
        <v>0</v>
      </c>
      <c r="I2">
        <f t="shared" ref="I2:I33" si="0">(G2/F2)*100</f>
        <v>0</v>
      </c>
      <c r="J2">
        <f t="shared" ref="J2:J33" si="1">(H2/F2)*100</f>
        <v>0</v>
      </c>
    </row>
    <row r="3" spans="1:10">
      <c r="A3" t="s">
        <v>34</v>
      </c>
      <c r="B3" t="s">
        <v>9</v>
      </c>
      <c r="D3" s="2">
        <v>45778</v>
      </c>
      <c r="E3" s="2" t="s">
        <v>36</v>
      </c>
      <c r="F3" s="133">
        <v>1</v>
      </c>
      <c r="G3">
        <v>0</v>
      </c>
      <c r="H3">
        <v>0</v>
      </c>
      <c r="I3">
        <f t="shared" si="0"/>
        <v>0</v>
      </c>
      <c r="J3">
        <f t="shared" si="1"/>
        <v>0</v>
      </c>
    </row>
    <row r="4" spans="1:10">
      <c r="A4" t="s">
        <v>34</v>
      </c>
      <c r="B4" t="s">
        <v>10</v>
      </c>
      <c r="D4" s="2">
        <v>45778</v>
      </c>
      <c r="E4" s="2" t="s">
        <v>36</v>
      </c>
      <c r="F4" s="133">
        <v>1</v>
      </c>
      <c r="G4">
        <v>0</v>
      </c>
      <c r="H4">
        <v>0</v>
      </c>
      <c r="I4">
        <f t="shared" si="0"/>
        <v>0</v>
      </c>
      <c r="J4">
        <f t="shared" si="1"/>
        <v>0</v>
      </c>
    </row>
    <row r="5" spans="1:10">
      <c r="A5" t="s">
        <v>34</v>
      </c>
      <c r="B5" t="s">
        <v>11</v>
      </c>
      <c r="D5" s="2">
        <v>45778</v>
      </c>
      <c r="E5" s="2" t="s">
        <v>36</v>
      </c>
      <c r="F5" s="133">
        <v>1</v>
      </c>
      <c r="G5">
        <v>0</v>
      </c>
      <c r="H5">
        <v>0</v>
      </c>
      <c r="I5">
        <f t="shared" si="0"/>
        <v>0</v>
      </c>
      <c r="J5">
        <f t="shared" si="1"/>
        <v>0</v>
      </c>
    </row>
    <row r="6" spans="1:10">
      <c r="A6" s="117" t="s">
        <v>34</v>
      </c>
      <c r="B6" s="117" t="s">
        <v>12</v>
      </c>
      <c r="C6" s="119"/>
      <c r="D6" s="118">
        <v>45778</v>
      </c>
      <c r="E6" s="118" t="s">
        <v>36</v>
      </c>
      <c r="F6" s="134">
        <v>1</v>
      </c>
      <c r="G6" s="117">
        <v>1</v>
      </c>
      <c r="H6" s="117">
        <v>0</v>
      </c>
      <c r="I6">
        <f t="shared" si="0"/>
        <v>100</v>
      </c>
      <c r="J6">
        <f t="shared" si="1"/>
        <v>0</v>
      </c>
    </row>
    <row r="7" spans="1:10">
      <c r="A7" t="s">
        <v>34</v>
      </c>
      <c r="B7" t="s">
        <v>8</v>
      </c>
      <c r="D7" s="2">
        <v>45839</v>
      </c>
      <c r="E7" s="2" t="s">
        <v>36</v>
      </c>
      <c r="F7" s="133">
        <v>7</v>
      </c>
      <c r="G7">
        <v>0</v>
      </c>
      <c r="H7">
        <v>0</v>
      </c>
      <c r="I7">
        <f t="shared" si="0"/>
        <v>0</v>
      </c>
      <c r="J7">
        <f t="shared" si="1"/>
        <v>0</v>
      </c>
    </row>
    <row r="8" spans="1:10">
      <c r="A8" t="s">
        <v>34</v>
      </c>
      <c r="B8" t="s">
        <v>9</v>
      </c>
      <c r="D8" s="2">
        <v>45839</v>
      </c>
      <c r="E8" s="2" t="s">
        <v>36</v>
      </c>
      <c r="F8" s="133">
        <v>7</v>
      </c>
      <c r="G8">
        <v>0</v>
      </c>
      <c r="H8">
        <v>0</v>
      </c>
      <c r="I8">
        <f t="shared" si="0"/>
        <v>0</v>
      </c>
      <c r="J8">
        <f t="shared" si="1"/>
        <v>0</v>
      </c>
    </row>
    <row r="9" spans="1:10">
      <c r="A9" t="s">
        <v>34</v>
      </c>
      <c r="B9" t="s">
        <v>10</v>
      </c>
      <c r="D9" s="2">
        <v>45839</v>
      </c>
      <c r="E9" s="2" t="s">
        <v>36</v>
      </c>
      <c r="F9" s="133">
        <v>7</v>
      </c>
      <c r="G9">
        <v>0</v>
      </c>
      <c r="H9">
        <v>1</v>
      </c>
      <c r="I9">
        <f t="shared" si="0"/>
        <v>0</v>
      </c>
      <c r="J9">
        <f t="shared" si="1"/>
        <v>14.285714285714285</v>
      </c>
    </row>
    <row r="10" spans="1:10">
      <c r="A10" t="s">
        <v>34</v>
      </c>
      <c r="B10" t="s">
        <v>11</v>
      </c>
      <c r="D10" s="2">
        <v>45839</v>
      </c>
      <c r="E10" s="2" t="s">
        <v>36</v>
      </c>
      <c r="F10" s="133">
        <v>7</v>
      </c>
      <c r="G10">
        <v>0</v>
      </c>
      <c r="H10">
        <v>0</v>
      </c>
      <c r="I10">
        <f t="shared" si="0"/>
        <v>0</v>
      </c>
      <c r="J10">
        <f t="shared" si="1"/>
        <v>0</v>
      </c>
    </row>
    <row r="11" spans="1:10">
      <c r="A11" s="117" t="s">
        <v>34</v>
      </c>
      <c r="B11" s="117" t="s">
        <v>12</v>
      </c>
      <c r="C11" s="119"/>
      <c r="D11" s="118">
        <v>45839</v>
      </c>
      <c r="E11" s="118" t="s">
        <v>36</v>
      </c>
      <c r="F11" s="134">
        <v>7</v>
      </c>
      <c r="G11" s="117">
        <v>6</v>
      </c>
      <c r="H11" s="117">
        <v>0</v>
      </c>
      <c r="I11">
        <f t="shared" si="0"/>
        <v>85.714285714285708</v>
      </c>
      <c r="J11">
        <f t="shared" si="1"/>
        <v>0</v>
      </c>
    </row>
    <row r="12" spans="1:10">
      <c r="A12" t="s">
        <v>34</v>
      </c>
      <c r="B12" t="s">
        <v>8</v>
      </c>
      <c r="D12" s="2">
        <v>45901</v>
      </c>
      <c r="E12" s="2" t="s">
        <v>36</v>
      </c>
      <c r="F12" s="133">
        <v>7</v>
      </c>
      <c r="G12">
        <v>0</v>
      </c>
      <c r="H12">
        <v>0</v>
      </c>
      <c r="I12">
        <f t="shared" si="0"/>
        <v>0</v>
      </c>
      <c r="J12">
        <f t="shared" si="1"/>
        <v>0</v>
      </c>
    </row>
    <row r="13" spans="1:10">
      <c r="A13" t="s">
        <v>34</v>
      </c>
      <c r="B13" t="s">
        <v>9</v>
      </c>
      <c r="D13" s="2">
        <v>45901</v>
      </c>
      <c r="E13" s="2" t="s">
        <v>36</v>
      </c>
      <c r="F13" s="133">
        <v>7</v>
      </c>
      <c r="G13">
        <v>0</v>
      </c>
      <c r="H13">
        <v>0</v>
      </c>
      <c r="I13">
        <f t="shared" si="0"/>
        <v>0</v>
      </c>
      <c r="J13">
        <f t="shared" si="1"/>
        <v>0</v>
      </c>
    </row>
    <row r="14" spans="1:10">
      <c r="A14" t="s">
        <v>34</v>
      </c>
      <c r="B14" t="s">
        <v>10</v>
      </c>
      <c r="D14" s="2">
        <v>45901</v>
      </c>
      <c r="E14" s="2" t="s">
        <v>36</v>
      </c>
      <c r="F14" s="133">
        <v>7</v>
      </c>
      <c r="G14">
        <v>0</v>
      </c>
      <c r="H14">
        <v>1</v>
      </c>
      <c r="I14">
        <f t="shared" si="0"/>
        <v>0</v>
      </c>
      <c r="J14">
        <f t="shared" si="1"/>
        <v>14.285714285714285</v>
      </c>
    </row>
    <row r="15" spans="1:10">
      <c r="A15" t="s">
        <v>34</v>
      </c>
      <c r="B15" t="s">
        <v>11</v>
      </c>
      <c r="D15" s="2">
        <v>45901</v>
      </c>
      <c r="E15" s="2" t="s">
        <v>36</v>
      </c>
      <c r="F15" s="133">
        <v>7</v>
      </c>
      <c r="G15">
        <v>0</v>
      </c>
      <c r="H15">
        <v>1</v>
      </c>
      <c r="I15">
        <f t="shared" si="0"/>
        <v>0</v>
      </c>
      <c r="J15">
        <f t="shared" si="1"/>
        <v>14.285714285714285</v>
      </c>
    </row>
    <row r="16" spans="1:10">
      <c r="A16" s="117" t="s">
        <v>34</v>
      </c>
      <c r="B16" s="117" t="s">
        <v>12</v>
      </c>
      <c r="C16" s="119"/>
      <c r="D16" s="118">
        <v>45901</v>
      </c>
      <c r="E16" s="118" t="s">
        <v>36</v>
      </c>
      <c r="F16" s="134">
        <v>7</v>
      </c>
      <c r="G16" s="117">
        <v>5</v>
      </c>
      <c r="H16" s="117">
        <v>0</v>
      </c>
      <c r="I16">
        <f t="shared" si="0"/>
        <v>71.428571428571431</v>
      </c>
      <c r="J16">
        <f t="shared" si="1"/>
        <v>0</v>
      </c>
    </row>
    <row r="17" spans="1:10">
      <c r="A17" t="s">
        <v>35</v>
      </c>
      <c r="B17" t="s">
        <v>8</v>
      </c>
      <c r="C17" s="120"/>
      <c r="D17" s="2">
        <v>45839</v>
      </c>
      <c r="E17" s="2" t="s">
        <v>37</v>
      </c>
      <c r="F17" s="133">
        <v>5</v>
      </c>
      <c r="G17">
        <v>0</v>
      </c>
      <c r="H17">
        <v>0</v>
      </c>
      <c r="I17">
        <f t="shared" si="0"/>
        <v>0</v>
      </c>
      <c r="J17">
        <f t="shared" si="1"/>
        <v>0</v>
      </c>
    </row>
    <row r="18" spans="1:10">
      <c r="A18" t="s">
        <v>35</v>
      </c>
      <c r="B18" t="s">
        <v>9</v>
      </c>
      <c r="D18" s="2">
        <v>45839</v>
      </c>
      <c r="E18" s="2" t="s">
        <v>37</v>
      </c>
      <c r="F18" s="133">
        <v>5</v>
      </c>
      <c r="G18">
        <v>1</v>
      </c>
      <c r="H18">
        <v>0</v>
      </c>
      <c r="I18">
        <f t="shared" si="0"/>
        <v>20</v>
      </c>
      <c r="J18">
        <f t="shared" si="1"/>
        <v>0</v>
      </c>
    </row>
    <row r="19" spans="1:10">
      <c r="A19" t="s">
        <v>35</v>
      </c>
      <c r="B19" t="s">
        <v>10</v>
      </c>
      <c r="D19" s="2">
        <v>45839</v>
      </c>
      <c r="E19" s="2" t="s">
        <v>37</v>
      </c>
      <c r="F19" s="133">
        <v>5</v>
      </c>
      <c r="G19">
        <v>0</v>
      </c>
      <c r="H19">
        <v>0</v>
      </c>
      <c r="I19">
        <f t="shared" si="0"/>
        <v>0</v>
      </c>
      <c r="J19">
        <f t="shared" si="1"/>
        <v>0</v>
      </c>
    </row>
    <row r="20" spans="1:10">
      <c r="A20" t="s">
        <v>35</v>
      </c>
      <c r="B20" t="s">
        <v>11</v>
      </c>
      <c r="D20" s="2">
        <v>45839</v>
      </c>
      <c r="E20" s="2" t="s">
        <v>37</v>
      </c>
      <c r="F20" s="133">
        <v>5</v>
      </c>
      <c r="G20">
        <v>0</v>
      </c>
      <c r="H20">
        <v>0</v>
      </c>
      <c r="I20">
        <f t="shared" si="0"/>
        <v>0</v>
      </c>
      <c r="J20">
        <f t="shared" si="1"/>
        <v>0</v>
      </c>
    </row>
    <row r="21" spans="1:10">
      <c r="A21" s="117" t="s">
        <v>35</v>
      </c>
      <c r="B21" s="117" t="s">
        <v>12</v>
      </c>
      <c r="C21" s="117"/>
      <c r="D21" s="118">
        <v>45839</v>
      </c>
      <c r="E21" s="118" t="s">
        <v>37</v>
      </c>
      <c r="F21" s="134">
        <v>5</v>
      </c>
      <c r="G21" s="117">
        <v>0</v>
      </c>
      <c r="H21" s="117">
        <v>0</v>
      </c>
      <c r="I21">
        <f t="shared" si="0"/>
        <v>0</v>
      </c>
      <c r="J21">
        <f t="shared" si="1"/>
        <v>0</v>
      </c>
    </row>
    <row r="22" spans="1:10">
      <c r="A22" t="s">
        <v>35</v>
      </c>
      <c r="B22" t="s">
        <v>8</v>
      </c>
      <c r="C22" s="120"/>
      <c r="D22" s="2">
        <v>45931</v>
      </c>
      <c r="E22" s="2" t="s">
        <v>1</v>
      </c>
      <c r="F22" s="133">
        <v>2</v>
      </c>
      <c r="G22">
        <v>2</v>
      </c>
      <c r="H22">
        <v>0</v>
      </c>
      <c r="I22">
        <f t="shared" si="0"/>
        <v>100</v>
      </c>
      <c r="J22">
        <f t="shared" si="1"/>
        <v>0</v>
      </c>
    </row>
    <row r="23" spans="1:10">
      <c r="A23" t="s">
        <v>35</v>
      </c>
      <c r="B23" t="s">
        <v>9</v>
      </c>
      <c r="D23" s="2">
        <v>45931</v>
      </c>
      <c r="E23" s="2" t="s">
        <v>1</v>
      </c>
      <c r="F23" s="133">
        <v>2</v>
      </c>
      <c r="G23">
        <v>1</v>
      </c>
      <c r="H23">
        <v>0</v>
      </c>
      <c r="I23">
        <f t="shared" si="0"/>
        <v>50</v>
      </c>
      <c r="J23">
        <f t="shared" si="1"/>
        <v>0</v>
      </c>
    </row>
    <row r="24" spans="1:10">
      <c r="A24" t="s">
        <v>35</v>
      </c>
      <c r="B24" t="s">
        <v>10</v>
      </c>
      <c r="D24" s="2">
        <v>45931</v>
      </c>
      <c r="E24" s="2" t="s">
        <v>1</v>
      </c>
      <c r="F24" s="133">
        <v>2</v>
      </c>
      <c r="G24">
        <v>1</v>
      </c>
      <c r="H24">
        <v>0</v>
      </c>
      <c r="I24">
        <f t="shared" si="0"/>
        <v>50</v>
      </c>
      <c r="J24">
        <f t="shared" si="1"/>
        <v>0</v>
      </c>
    </row>
    <row r="25" spans="1:10">
      <c r="A25" t="s">
        <v>35</v>
      </c>
      <c r="B25" t="s">
        <v>11</v>
      </c>
      <c r="D25" s="2">
        <v>45931</v>
      </c>
      <c r="E25" s="2" t="s">
        <v>1</v>
      </c>
      <c r="F25" s="133">
        <v>2</v>
      </c>
      <c r="G25">
        <v>0</v>
      </c>
      <c r="H25">
        <v>0</v>
      </c>
      <c r="I25">
        <f t="shared" si="0"/>
        <v>0</v>
      </c>
      <c r="J25">
        <f t="shared" si="1"/>
        <v>0</v>
      </c>
    </row>
    <row r="26" spans="1:10">
      <c r="A26" s="117" t="s">
        <v>35</v>
      </c>
      <c r="B26" s="117" t="s">
        <v>12</v>
      </c>
      <c r="C26" s="117"/>
      <c r="D26" s="118">
        <v>45931</v>
      </c>
      <c r="E26" s="118" t="s">
        <v>1</v>
      </c>
      <c r="F26" s="134">
        <v>2</v>
      </c>
      <c r="G26" s="117">
        <v>2</v>
      </c>
      <c r="H26" s="117">
        <v>0</v>
      </c>
      <c r="I26">
        <f t="shared" si="0"/>
        <v>100</v>
      </c>
      <c r="J26">
        <f t="shared" si="1"/>
        <v>0</v>
      </c>
    </row>
    <row r="27" spans="1:10">
      <c r="A27" t="s">
        <v>41</v>
      </c>
      <c r="B27" t="s">
        <v>8</v>
      </c>
      <c r="D27" s="2">
        <v>45658</v>
      </c>
      <c r="E27" s="2" t="s">
        <v>36</v>
      </c>
      <c r="F27" s="133">
        <v>4</v>
      </c>
      <c r="G27">
        <v>4</v>
      </c>
      <c r="H27">
        <v>0</v>
      </c>
      <c r="I27">
        <f t="shared" si="0"/>
        <v>100</v>
      </c>
      <c r="J27">
        <f t="shared" si="1"/>
        <v>0</v>
      </c>
    </row>
    <row r="28" spans="1:10">
      <c r="A28" t="s">
        <v>41</v>
      </c>
      <c r="B28" t="s">
        <v>9</v>
      </c>
      <c r="D28" s="2">
        <v>45658</v>
      </c>
      <c r="E28" s="2" t="s">
        <v>36</v>
      </c>
      <c r="F28" s="133">
        <v>4</v>
      </c>
      <c r="G28">
        <v>4</v>
      </c>
      <c r="H28">
        <v>0</v>
      </c>
      <c r="I28">
        <f t="shared" si="0"/>
        <v>100</v>
      </c>
      <c r="J28">
        <f t="shared" si="1"/>
        <v>0</v>
      </c>
    </row>
    <row r="29" spans="1:10">
      <c r="A29" t="s">
        <v>41</v>
      </c>
      <c r="B29" t="s">
        <v>10</v>
      </c>
      <c r="D29" s="2">
        <v>45658</v>
      </c>
      <c r="E29" s="2" t="s">
        <v>36</v>
      </c>
      <c r="F29" s="133">
        <v>4</v>
      </c>
      <c r="G29">
        <v>4</v>
      </c>
      <c r="H29">
        <v>0</v>
      </c>
      <c r="I29">
        <f t="shared" si="0"/>
        <v>100</v>
      </c>
      <c r="J29">
        <f t="shared" si="1"/>
        <v>0</v>
      </c>
    </row>
    <row r="30" spans="1:10">
      <c r="A30" t="s">
        <v>41</v>
      </c>
      <c r="B30" t="s">
        <v>11</v>
      </c>
      <c r="D30" s="2">
        <v>45658</v>
      </c>
      <c r="E30" s="2" t="s">
        <v>36</v>
      </c>
      <c r="F30" s="133">
        <v>4</v>
      </c>
      <c r="G30">
        <v>4</v>
      </c>
      <c r="H30">
        <v>0</v>
      </c>
      <c r="I30">
        <f t="shared" si="0"/>
        <v>100</v>
      </c>
      <c r="J30">
        <f t="shared" si="1"/>
        <v>0</v>
      </c>
    </row>
    <row r="31" spans="1:10">
      <c r="A31" s="117" t="s">
        <v>41</v>
      </c>
      <c r="B31" s="117" t="s">
        <v>12</v>
      </c>
      <c r="C31" s="117"/>
      <c r="D31" s="118">
        <v>45658</v>
      </c>
      <c r="E31" s="118" t="s">
        <v>36</v>
      </c>
      <c r="F31" s="134">
        <v>4</v>
      </c>
      <c r="G31" s="117">
        <v>4</v>
      </c>
      <c r="H31" s="117">
        <v>0</v>
      </c>
      <c r="I31">
        <f t="shared" si="0"/>
        <v>100</v>
      </c>
      <c r="J31">
        <f t="shared" si="1"/>
        <v>0</v>
      </c>
    </row>
    <row r="32" spans="1:10">
      <c r="A32" t="s">
        <v>41</v>
      </c>
      <c r="B32" t="s">
        <v>8</v>
      </c>
      <c r="D32" s="2">
        <v>45717</v>
      </c>
      <c r="E32" s="2" t="s">
        <v>37</v>
      </c>
      <c r="F32" s="133">
        <v>2</v>
      </c>
      <c r="G32">
        <v>2</v>
      </c>
      <c r="H32">
        <v>0</v>
      </c>
      <c r="I32">
        <f t="shared" si="0"/>
        <v>100</v>
      </c>
      <c r="J32">
        <f t="shared" si="1"/>
        <v>0</v>
      </c>
    </row>
    <row r="33" spans="1:10">
      <c r="A33" t="s">
        <v>41</v>
      </c>
      <c r="B33" t="s">
        <v>9</v>
      </c>
      <c r="D33" s="2">
        <v>45717</v>
      </c>
      <c r="E33" s="2" t="s">
        <v>37</v>
      </c>
      <c r="F33" s="133">
        <v>2</v>
      </c>
      <c r="G33">
        <v>2</v>
      </c>
      <c r="H33">
        <v>0</v>
      </c>
      <c r="I33">
        <f t="shared" si="0"/>
        <v>100</v>
      </c>
      <c r="J33">
        <f t="shared" si="1"/>
        <v>0</v>
      </c>
    </row>
    <row r="34" spans="1:10">
      <c r="A34" t="s">
        <v>41</v>
      </c>
      <c r="B34" t="s">
        <v>10</v>
      </c>
      <c r="D34" s="2">
        <v>45717</v>
      </c>
      <c r="E34" s="2" t="s">
        <v>37</v>
      </c>
      <c r="F34" s="133">
        <v>2</v>
      </c>
      <c r="G34">
        <v>2</v>
      </c>
      <c r="H34">
        <v>0</v>
      </c>
      <c r="I34">
        <f t="shared" ref="I34:I67" si="2">(G34/F34)*100</f>
        <v>100</v>
      </c>
      <c r="J34">
        <f t="shared" ref="J34:J67" si="3">(H34/F34)*100</f>
        <v>0</v>
      </c>
    </row>
    <row r="35" spans="1:10">
      <c r="A35" t="s">
        <v>41</v>
      </c>
      <c r="B35" t="s">
        <v>11</v>
      </c>
      <c r="D35" s="2">
        <v>45717</v>
      </c>
      <c r="E35" s="2" t="s">
        <v>37</v>
      </c>
      <c r="F35" s="133">
        <v>2</v>
      </c>
      <c r="G35">
        <v>2</v>
      </c>
      <c r="H35">
        <v>0</v>
      </c>
      <c r="I35">
        <f t="shared" si="2"/>
        <v>100</v>
      </c>
      <c r="J35">
        <f t="shared" si="3"/>
        <v>0</v>
      </c>
    </row>
    <row r="36" spans="1:10">
      <c r="A36" s="117" t="s">
        <v>41</v>
      </c>
      <c r="B36" s="117" t="s">
        <v>12</v>
      </c>
      <c r="C36" s="117"/>
      <c r="D36" s="118">
        <v>45717</v>
      </c>
      <c r="E36" s="118" t="s">
        <v>37</v>
      </c>
      <c r="F36" s="134">
        <v>2</v>
      </c>
      <c r="G36" s="117">
        <v>2</v>
      </c>
      <c r="H36" s="117">
        <v>0</v>
      </c>
      <c r="I36">
        <f t="shared" si="2"/>
        <v>100</v>
      </c>
      <c r="J36">
        <f t="shared" si="3"/>
        <v>0</v>
      </c>
    </row>
    <row r="37" spans="1:10">
      <c r="A37" t="s">
        <v>42</v>
      </c>
      <c r="B37" t="s">
        <v>8</v>
      </c>
      <c r="D37" s="2">
        <v>45931</v>
      </c>
      <c r="E37" s="2" t="s">
        <v>36</v>
      </c>
      <c r="F37" s="133">
        <v>10</v>
      </c>
      <c r="G37">
        <v>9</v>
      </c>
      <c r="H37">
        <v>0</v>
      </c>
      <c r="I37">
        <f t="shared" si="2"/>
        <v>90</v>
      </c>
      <c r="J37">
        <f t="shared" si="3"/>
        <v>0</v>
      </c>
    </row>
    <row r="38" spans="1:10">
      <c r="A38" t="s">
        <v>42</v>
      </c>
      <c r="B38" t="s">
        <v>9</v>
      </c>
      <c r="D38" s="2">
        <v>45931</v>
      </c>
      <c r="E38" s="2" t="s">
        <v>36</v>
      </c>
      <c r="F38" s="133">
        <v>10</v>
      </c>
      <c r="G38">
        <v>9</v>
      </c>
      <c r="H38">
        <v>0</v>
      </c>
      <c r="I38">
        <f t="shared" si="2"/>
        <v>90</v>
      </c>
      <c r="J38">
        <f t="shared" si="3"/>
        <v>0</v>
      </c>
    </row>
    <row r="39" spans="1:10">
      <c r="A39" t="s">
        <v>42</v>
      </c>
      <c r="B39" t="s">
        <v>10</v>
      </c>
      <c r="D39" s="2">
        <v>45931</v>
      </c>
      <c r="E39" s="2" t="s">
        <v>36</v>
      </c>
      <c r="F39" s="133">
        <v>10</v>
      </c>
      <c r="G39">
        <v>10</v>
      </c>
      <c r="H39">
        <v>0</v>
      </c>
      <c r="I39">
        <f t="shared" si="2"/>
        <v>100</v>
      </c>
      <c r="J39">
        <f t="shared" si="3"/>
        <v>0</v>
      </c>
    </row>
    <row r="40" spans="1:10">
      <c r="A40" t="s">
        <v>42</v>
      </c>
      <c r="B40" t="s">
        <v>11</v>
      </c>
      <c r="D40" s="2">
        <v>45931</v>
      </c>
      <c r="E40" s="2" t="s">
        <v>36</v>
      </c>
      <c r="F40" s="133">
        <v>10</v>
      </c>
      <c r="G40">
        <v>10</v>
      </c>
      <c r="H40">
        <v>0</v>
      </c>
      <c r="I40">
        <f t="shared" si="2"/>
        <v>100</v>
      </c>
      <c r="J40">
        <f t="shared" si="3"/>
        <v>0</v>
      </c>
    </row>
    <row r="41" spans="1:10">
      <c r="A41" s="117" t="s">
        <v>42</v>
      </c>
      <c r="B41" s="117" t="s">
        <v>12</v>
      </c>
      <c r="C41" s="117"/>
      <c r="D41" s="118">
        <v>45931</v>
      </c>
      <c r="E41" s="118" t="s">
        <v>36</v>
      </c>
      <c r="F41" s="134">
        <v>10</v>
      </c>
      <c r="G41" s="117">
        <v>10</v>
      </c>
      <c r="H41" s="117">
        <v>0</v>
      </c>
      <c r="I41">
        <f t="shared" si="2"/>
        <v>100</v>
      </c>
      <c r="J41">
        <f t="shared" si="3"/>
        <v>0</v>
      </c>
    </row>
    <row r="42" spans="1:10">
      <c r="A42" t="s">
        <v>43</v>
      </c>
      <c r="B42" t="s">
        <v>18</v>
      </c>
      <c r="D42" s="2">
        <v>45658</v>
      </c>
      <c r="E42" s="2" t="s">
        <v>36</v>
      </c>
      <c r="F42" s="133">
        <v>4</v>
      </c>
      <c r="G42">
        <v>4</v>
      </c>
      <c r="H42">
        <v>0</v>
      </c>
      <c r="I42">
        <f t="shared" si="2"/>
        <v>100</v>
      </c>
      <c r="J42">
        <f t="shared" si="3"/>
        <v>0</v>
      </c>
    </row>
    <row r="43" spans="1:10">
      <c r="A43" s="117" t="s">
        <v>43</v>
      </c>
      <c r="B43" s="117" t="s">
        <v>19</v>
      </c>
      <c r="C43" s="117"/>
      <c r="D43" s="118">
        <v>45658</v>
      </c>
      <c r="E43" s="118" t="s">
        <v>36</v>
      </c>
      <c r="F43" s="134">
        <v>4</v>
      </c>
      <c r="G43" s="117">
        <v>4</v>
      </c>
      <c r="H43" s="117">
        <v>0</v>
      </c>
      <c r="I43">
        <f t="shared" si="2"/>
        <v>100</v>
      </c>
      <c r="J43">
        <f t="shared" si="3"/>
        <v>0</v>
      </c>
    </row>
    <row r="44" spans="1:10">
      <c r="A44" t="s">
        <v>43</v>
      </c>
      <c r="B44" t="s">
        <v>18</v>
      </c>
      <c r="D44" s="2">
        <v>45717</v>
      </c>
      <c r="E44" s="2" t="s">
        <v>37</v>
      </c>
      <c r="F44" s="133">
        <v>2</v>
      </c>
      <c r="G44">
        <v>2</v>
      </c>
      <c r="H44">
        <v>0</v>
      </c>
      <c r="I44">
        <f t="shared" si="2"/>
        <v>100</v>
      </c>
      <c r="J44">
        <f t="shared" si="3"/>
        <v>0</v>
      </c>
    </row>
    <row r="45" spans="1:10">
      <c r="A45" s="117" t="s">
        <v>43</v>
      </c>
      <c r="B45" s="117" t="s">
        <v>19</v>
      </c>
      <c r="C45" s="117"/>
      <c r="D45" s="118">
        <v>45717</v>
      </c>
      <c r="E45" s="118" t="s">
        <v>37</v>
      </c>
      <c r="F45" s="134">
        <v>2</v>
      </c>
      <c r="G45" s="117">
        <v>2</v>
      </c>
      <c r="H45" s="117">
        <v>0</v>
      </c>
      <c r="I45">
        <f t="shared" si="2"/>
        <v>100</v>
      </c>
      <c r="J45">
        <f t="shared" si="3"/>
        <v>0</v>
      </c>
    </row>
    <row r="46" spans="1:10">
      <c r="A46" t="s">
        <v>43</v>
      </c>
      <c r="B46" t="s">
        <v>18</v>
      </c>
      <c r="D46" s="2">
        <v>45717</v>
      </c>
      <c r="E46" s="2" t="s">
        <v>1</v>
      </c>
      <c r="F46" s="133">
        <v>2</v>
      </c>
      <c r="G46">
        <v>2</v>
      </c>
      <c r="H46">
        <v>0</v>
      </c>
      <c r="I46">
        <f t="shared" si="2"/>
        <v>100</v>
      </c>
      <c r="J46">
        <f t="shared" si="3"/>
        <v>0</v>
      </c>
    </row>
    <row r="47" spans="1:10">
      <c r="A47" s="117" t="s">
        <v>43</v>
      </c>
      <c r="B47" s="117" t="s">
        <v>19</v>
      </c>
      <c r="C47" s="117"/>
      <c r="D47" s="118">
        <v>45717</v>
      </c>
      <c r="E47" s="118" t="s">
        <v>1</v>
      </c>
      <c r="F47" s="134">
        <v>2</v>
      </c>
      <c r="G47" s="117">
        <v>2</v>
      </c>
      <c r="H47" s="117">
        <v>0</v>
      </c>
      <c r="I47">
        <f t="shared" si="2"/>
        <v>100</v>
      </c>
      <c r="J47">
        <f t="shared" si="3"/>
        <v>0</v>
      </c>
    </row>
    <row r="48" spans="1:10">
      <c r="A48" t="s">
        <v>43</v>
      </c>
      <c r="B48" t="s">
        <v>18</v>
      </c>
      <c r="D48" s="2">
        <v>45839</v>
      </c>
      <c r="E48" s="2" t="s">
        <v>37</v>
      </c>
      <c r="F48" s="133">
        <v>1</v>
      </c>
      <c r="G48">
        <v>1</v>
      </c>
      <c r="H48">
        <v>0</v>
      </c>
      <c r="I48">
        <f t="shared" si="2"/>
        <v>100</v>
      </c>
      <c r="J48">
        <f t="shared" si="3"/>
        <v>0</v>
      </c>
    </row>
    <row r="49" spans="1:10">
      <c r="A49" s="117" t="s">
        <v>43</v>
      </c>
      <c r="B49" s="117" t="s">
        <v>19</v>
      </c>
      <c r="C49" s="117"/>
      <c r="D49" s="118">
        <v>45839</v>
      </c>
      <c r="E49" s="118" t="s">
        <v>37</v>
      </c>
      <c r="F49" s="134">
        <v>1</v>
      </c>
      <c r="G49" s="117">
        <v>1</v>
      </c>
      <c r="H49" s="117">
        <v>0</v>
      </c>
      <c r="I49">
        <f t="shared" si="2"/>
        <v>100</v>
      </c>
      <c r="J49">
        <f t="shared" si="3"/>
        <v>0</v>
      </c>
    </row>
    <row r="50" spans="1:10">
      <c r="A50" t="s">
        <v>43</v>
      </c>
      <c r="B50" t="s">
        <v>18</v>
      </c>
      <c r="D50" s="2">
        <v>45901</v>
      </c>
      <c r="E50" s="2" t="s">
        <v>36</v>
      </c>
      <c r="F50" s="133">
        <v>7</v>
      </c>
      <c r="G50">
        <v>7</v>
      </c>
      <c r="H50">
        <v>0</v>
      </c>
      <c r="I50">
        <f t="shared" si="2"/>
        <v>100</v>
      </c>
      <c r="J50">
        <f t="shared" si="3"/>
        <v>0</v>
      </c>
    </row>
    <row r="51" spans="1:10">
      <c r="A51" s="117" t="s">
        <v>43</v>
      </c>
      <c r="B51" s="117" t="s">
        <v>19</v>
      </c>
      <c r="C51" s="117"/>
      <c r="D51" s="118">
        <v>45901</v>
      </c>
      <c r="E51" s="118" t="s">
        <v>36</v>
      </c>
      <c r="F51" s="134">
        <v>7</v>
      </c>
      <c r="G51" s="117">
        <v>7</v>
      </c>
      <c r="H51" s="117">
        <v>0</v>
      </c>
      <c r="I51">
        <f t="shared" si="2"/>
        <v>100</v>
      </c>
      <c r="J51">
        <f t="shared" si="3"/>
        <v>0</v>
      </c>
    </row>
    <row r="52" spans="1:10">
      <c r="A52" t="s">
        <v>43</v>
      </c>
      <c r="B52" t="s">
        <v>18</v>
      </c>
      <c r="D52" s="2">
        <v>45901</v>
      </c>
      <c r="E52" s="2" t="s">
        <v>1</v>
      </c>
      <c r="F52" s="133">
        <v>1</v>
      </c>
      <c r="G52">
        <v>1</v>
      </c>
      <c r="H52">
        <v>0</v>
      </c>
      <c r="I52">
        <f t="shared" si="2"/>
        <v>100</v>
      </c>
      <c r="J52">
        <f t="shared" si="3"/>
        <v>0</v>
      </c>
    </row>
    <row r="53" spans="1:10">
      <c r="A53" s="117" t="s">
        <v>43</v>
      </c>
      <c r="B53" s="117" t="s">
        <v>19</v>
      </c>
      <c r="C53" s="117"/>
      <c r="D53" s="118">
        <v>45901</v>
      </c>
      <c r="E53" s="118" t="s">
        <v>1</v>
      </c>
      <c r="F53" s="134">
        <v>1</v>
      </c>
      <c r="G53" s="117">
        <v>1</v>
      </c>
      <c r="H53" s="117">
        <v>0</v>
      </c>
      <c r="I53">
        <f t="shared" si="2"/>
        <v>100</v>
      </c>
      <c r="J53">
        <f t="shared" si="3"/>
        <v>0</v>
      </c>
    </row>
    <row r="54" spans="1:10">
      <c r="A54" t="s">
        <v>44</v>
      </c>
      <c r="B54" t="s">
        <v>8</v>
      </c>
      <c r="D54" s="2">
        <v>45931</v>
      </c>
      <c r="E54" s="2" t="s">
        <v>37</v>
      </c>
      <c r="F54" s="133">
        <v>7</v>
      </c>
      <c r="G54">
        <v>0</v>
      </c>
      <c r="H54">
        <v>4</v>
      </c>
      <c r="I54">
        <f t="shared" si="2"/>
        <v>0</v>
      </c>
      <c r="J54">
        <f t="shared" si="3"/>
        <v>57.142857142857139</v>
      </c>
    </row>
    <row r="55" spans="1:10">
      <c r="A55" t="s">
        <v>44</v>
      </c>
      <c r="B55" t="s">
        <v>9</v>
      </c>
      <c r="C55" s="130"/>
      <c r="D55" s="2">
        <v>45931</v>
      </c>
      <c r="E55" s="2" t="s">
        <v>37</v>
      </c>
      <c r="F55" s="133">
        <v>7</v>
      </c>
      <c r="G55">
        <v>3</v>
      </c>
      <c r="H55">
        <v>0</v>
      </c>
      <c r="I55">
        <f t="shared" si="2"/>
        <v>42.857142857142854</v>
      </c>
      <c r="J55">
        <f t="shared" si="3"/>
        <v>0</v>
      </c>
    </row>
    <row r="56" spans="1:10">
      <c r="A56" t="s">
        <v>44</v>
      </c>
      <c r="B56" t="s">
        <v>10</v>
      </c>
      <c r="D56" s="2">
        <v>45931</v>
      </c>
      <c r="E56" s="2" t="s">
        <v>37</v>
      </c>
      <c r="F56" s="133">
        <v>7</v>
      </c>
      <c r="G56">
        <v>0</v>
      </c>
      <c r="H56">
        <v>1</v>
      </c>
      <c r="I56">
        <f t="shared" si="2"/>
        <v>0</v>
      </c>
      <c r="J56">
        <f t="shared" si="3"/>
        <v>14.285714285714285</v>
      </c>
    </row>
    <row r="57" spans="1:10">
      <c r="A57" t="s">
        <v>44</v>
      </c>
      <c r="B57" t="s">
        <v>11</v>
      </c>
      <c r="C57" s="130"/>
      <c r="D57" s="2">
        <v>45931</v>
      </c>
      <c r="E57" s="2" t="s">
        <v>37</v>
      </c>
      <c r="F57" s="133">
        <v>7</v>
      </c>
      <c r="G57">
        <v>5</v>
      </c>
      <c r="H57">
        <v>0</v>
      </c>
      <c r="I57">
        <f t="shared" si="2"/>
        <v>71.428571428571431</v>
      </c>
      <c r="J57">
        <f t="shared" si="3"/>
        <v>0</v>
      </c>
    </row>
    <row r="58" spans="1:10">
      <c r="A58" t="s">
        <v>44</v>
      </c>
      <c r="B58" t="s">
        <v>12</v>
      </c>
      <c r="D58" s="2">
        <v>45931</v>
      </c>
      <c r="E58" s="2" t="s">
        <v>37</v>
      </c>
      <c r="F58" s="133">
        <v>7</v>
      </c>
      <c r="G58">
        <v>0</v>
      </c>
      <c r="H58">
        <v>0</v>
      </c>
      <c r="I58">
        <f t="shared" si="2"/>
        <v>0</v>
      </c>
      <c r="J58">
        <f t="shared" si="3"/>
        <v>0</v>
      </c>
    </row>
    <row r="59" spans="1:10">
      <c r="A59" t="s">
        <v>44</v>
      </c>
      <c r="B59" t="s">
        <v>21</v>
      </c>
      <c r="C59" s="130"/>
      <c r="D59" s="2">
        <v>45931</v>
      </c>
      <c r="E59" s="2" t="s">
        <v>37</v>
      </c>
      <c r="F59" s="133">
        <v>7</v>
      </c>
      <c r="G59">
        <v>6</v>
      </c>
      <c r="H59">
        <v>1</v>
      </c>
      <c r="I59">
        <f t="shared" si="2"/>
        <v>85.714285714285708</v>
      </c>
      <c r="J59">
        <f t="shared" si="3"/>
        <v>14.285714285714285</v>
      </c>
    </row>
    <row r="60" spans="1:10">
      <c r="A60" t="s">
        <v>44</v>
      </c>
      <c r="B60" t="s">
        <v>22</v>
      </c>
      <c r="D60" s="2">
        <v>45931</v>
      </c>
      <c r="E60" s="2" t="s">
        <v>37</v>
      </c>
      <c r="F60" s="133">
        <v>7</v>
      </c>
      <c r="G60">
        <v>0</v>
      </c>
      <c r="H60">
        <v>0</v>
      </c>
      <c r="I60">
        <f t="shared" si="2"/>
        <v>0</v>
      </c>
      <c r="J60">
        <f t="shared" si="3"/>
        <v>0</v>
      </c>
    </row>
    <row r="61" spans="1:10">
      <c r="A61" t="s">
        <v>44</v>
      </c>
      <c r="B61" t="s">
        <v>23</v>
      </c>
      <c r="D61" s="2">
        <v>45931</v>
      </c>
      <c r="E61" s="2" t="s">
        <v>37</v>
      </c>
      <c r="F61" s="133">
        <v>7</v>
      </c>
      <c r="G61">
        <v>0</v>
      </c>
      <c r="H61">
        <v>0</v>
      </c>
      <c r="I61">
        <f t="shared" si="2"/>
        <v>0</v>
      </c>
      <c r="J61">
        <f t="shared" si="3"/>
        <v>0</v>
      </c>
    </row>
    <row r="62" spans="1:10">
      <c r="A62" t="s">
        <v>44</v>
      </c>
      <c r="B62" t="s">
        <v>24</v>
      </c>
      <c r="D62" s="2">
        <v>45931</v>
      </c>
      <c r="E62" s="2" t="s">
        <v>37</v>
      </c>
      <c r="F62" s="133">
        <v>7</v>
      </c>
      <c r="G62">
        <v>0</v>
      </c>
      <c r="H62">
        <v>2</v>
      </c>
      <c r="I62">
        <f t="shared" si="2"/>
        <v>0</v>
      </c>
      <c r="J62">
        <f t="shared" si="3"/>
        <v>28.571428571428569</v>
      </c>
    </row>
    <row r="63" spans="1:10">
      <c r="A63" t="s">
        <v>44</v>
      </c>
      <c r="B63" t="s">
        <v>25</v>
      </c>
      <c r="C63" s="130"/>
      <c r="D63" s="2">
        <v>45931</v>
      </c>
      <c r="E63" s="2" t="s">
        <v>37</v>
      </c>
      <c r="F63" s="133">
        <v>7</v>
      </c>
      <c r="G63">
        <v>2</v>
      </c>
      <c r="H63">
        <v>0</v>
      </c>
      <c r="I63">
        <f t="shared" si="2"/>
        <v>28.571428571428569</v>
      </c>
      <c r="J63">
        <f t="shared" si="3"/>
        <v>0</v>
      </c>
    </row>
    <row r="64" spans="1:10">
      <c r="A64" t="s">
        <v>44</v>
      </c>
      <c r="B64" t="s">
        <v>26</v>
      </c>
      <c r="D64" s="2">
        <v>45931</v>
      </c>
      <c r="E64" s="2" t="s">
        <v>37</v>
      </c>
      <c r="F64" s="133">
        <v>7</v>
      </c>
      <c r="G64">
        <v>0</v>
      </c>
      <c r="H64">
        <v>3</v>
      </c>
      <c r="I64">
        <f t="shared" si="2"/>
        <v>0</v>
      </c>
      <c r="J64">
        <f t="shared" si="3"/>
        <v>42.857142857142854</v>
      </c>
    </row>
    <row r="65" spans="1:10">
      <c r="A65" t="s">
        <v>44</v>
      </c>
      <c r="B65" t="s">
        <v>27</v>
      </c>
      <c r="D65" s="2">
        <v>45931</v>
      </c>
      <c r="E65" s="2" t="s">
        <v>37</v>
      </c>
      <c r="F65" s="133">
        <v>7</v>
      </c>
      <c r="G65">
        <v>0</v>
      </c>
      <c r="H65">
        <v>2</v>
      </c>
      <c r="I65">
        <f t="shared" si="2"/>
        <v>0</v>
      </c>
      <c r="J65">
        <f t="shared" si="3"/>
        <v>28.571428571428569</v>
      </c>
    </row>
    <row r="66" spans="1:10">
      <c r="A66" t="s">
        <v>44</v>
      </c>
      <c r="B66" t="s">
        <v>28</v>
      </c>
      <c r="C66" s="130"/>
      <c r="D66" s="2">
        <v>45931</v>
      </c>
      <c r="E66" s="2" t="s">
        <v>37</v>
      </c>
      <c r="F66" s="133">
        <v>7</v>
      </c>
      <c r="G66">
        <v>5</v>
      </c>
      <c r="H66">
        <v>0</v>
      </c>
      <c r="I66">
        <f t="shared" si="2"/>
        <v>71.428571428571431</v>
      </c>
      <c r="J66">
        <f t="shared" si="3"/>
        <v>0</v>
      </c>
    </row>
    <row r="67" spans="1:10">
      <c r="A67" s="117" t="s">
        <v>44</v>
      </c>
      <c r="B67" s="117" t="s">
        <v>29</v>
      </c>
      <c r="C67" s="117"/>
      <c r="D67" s="118">
        <v>45931</v>
      </c>
      <c r="E67" s="118" t="s">
        <v>37</v>
      </c>
      <c r="F67" s="134">
        <v>7</v>
      </c>
      <c r="G67" s="117">
        <v>0</v>
      </c>
      <c r="H67" s="117">
        <v>0</v>
      </c>
      <c r="I67">
        <f t="shared" si="2"/>
        <v>0</v>
      </c>
      <c r="J67">
        <f t="shared" si="3"/>
        <v>0</v>
      </c>
    </row>
  </sheetData>
  <conditionalFormatting sqref="I1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{92C3D6E9-8ADD-4F06-80CD-C50EA913F506}</x14:id>
        </ext>
      </extLst>
    </cfRule>
  </conditionalFormatting>
  <conditionalFormatting sqref="J1:J1048576">
    <cfRule type="dataBar" priority="1">
      <dataBar>
        <cfvo type="min"/>
        <cfvo type="num" val="100"/>
        <color rgb="FFFF555A"/>
      </dataBar>
      <extLst>
        <ext xmlns:x14="http://schemas.microsoft.com/office/spreadsheetml/2009/9/main" uri="{B025F937-C7B1-47D3-B67F-A62EFF666E3E}">
          <x14:id>{6F32813D-FFA6-4068-B930-780405E0C287}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C3D6E9-8ADD-4F06-80CD-C50EA913F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6F32813D-FFA6-4068-B930-780405E0C287}">
            <x14:dataBar minLength="0" maxLength="100" border="1" negativeBarBorderColorSameAsPositive="0">
              <x14:cfvo type="autoMin"/>
              <x14:cfvo type="num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DAAD-7A41-4A48-AF80-7F5BCFB45333}">
  <dimension ref="A3:C11"/>
  <sheetViews>
    <sheetView workbookViewId="0">
      <selection activeCell="A11" sqref="A11"/>
    </sheetView>
  </sheetViews>
  <sheetFormatPr defaultRowHeight="15"/>
  <cols>
    <col min="1" max="1" width="13.42578125" bestFit="1" customWidth="1"/>
    <col min="2" max="2" width="36" bestFit="1" customWidth="1"/>
    <col min="3" max="3" width="37.7109375" bestFit="1" customWidth="1"/>
    <col min="4" max="4" width="7" bestFit="1" customWidth="1"/>
    <col min="5" max="5" width="7.28515625" bestFit="1" customWidth="1"/>
    <col min="6" max="8" width="12" bestFit="1" customWidth="1"/>
    <col min="9" max="9" width="37.7109375" bestFit="1" customWidth="1"/>
    <col min="10" max="10" width="6.5703125" bestFit="1" customWidth="1"/>
    <col min="11" max="11" width="7" bestFit="1" customWidth="1"/>
    <col min="12" max="12" width="7.28515625" bestFit="1" customWidth="1"/>
    <col min="13" max="15" width="12" bestFit="1" customWidth="1"/>
    <col min="16" max="16" width="41" bestFit="1" customWidth="1"/>
    <col min="17" max="17" width="42.85546875" bestFit="1" customWidth="1"/>
  </cols>
  <sheetData>
    <row r="3" spans="1:3">
      <c r="A3" s="131" t="s">
        <v>48</v>
      </c>
      <c r="B3" t="s">
        <v>51</v>
      </c>
      <c r="C3" t="s">
        <v>52</v>
      </c>
    </row>
    <row r="4" spans="1:3">
      <c r="A4" s="135" t="s">
        <v>42</v>
      </c>
      <c r="B4">
        <v>96</v>
      </c>
      <c r="C4">
        <v>0</v>
      </c>
    </row>
    <row r="5" spans="1:3">
      <c r="A5" s="135" t="s">
        <v>43</v>
      </c>
      <c r="B5">
        <v>100</v>
      </c>
      <c r="C5">
        <v>0</v>
      </c>
    </row>
    <row r="6" spans="1:3">
      <c r="A6" s="135" t="s">
        <v>34</v>
      </c>
      <c r="B6">
        <v>17.142857142857146</v>
      </c>
      <c r="C6">
        <v>2.8571428571428568</v>
      </c>
    </row>
    <row r="7" spans="1:3">
      <c r="A7" s="135" t="s">
        <v>41</v>
      </c>
      <c r="B7">
        <v>100</v>
      </c>
      <c r="C7">
        <v>0</v>
      </c>
    </row>
    <row r="8" spans="1:3">
      <c r="A8" s="135" t="s">
        <v>44</v>
      </c>
      <c r="B8">
        <v>21.428571428571427</v>
      </c>
      <c r="C8">
        <v>13.265306122448976</v>
      </c>
    </row>
    <row r="9" spans="1:3">
      <c r="A9" s="135" t="s">
        <v>35</v>
      </c>
      <c r="B9">
        <v>40</v>
      </c>
      <c r="C9">
        <v>0</v>
      </c>
    </row>
    <row r="10" spans="1:3">
      <c r="A10" s="135" t="s">
        <v>49</v>
      </c>
    </row>
    <row r="11" spans="1:3">
      <c r="A11" s="135" t="s">
        <v>50</v>
      </c>
      <c r="B11">
        <v>55.108225108225106</v>
      </c>
      <c r="C11">
        <v>3.4632034632034632</v>
      </c>
    </row>
  </sheetData>
  <conditionalFormatting pivot="1" sqref="B4:B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{538D6EE9-148D-4437-B4C6-9AF4EC256320}</x14:id>
        </ext>
      </extLst>
    </cfRule>
  </conditionalFormatting>
  <conditionalFormatting pivot="1" sqref="C4:C9">
    <cfRule type="dataBar" priority="1">
      <dataBar>
        <cfvo type="min"/>
        <cfvo type="num" val="100"/>
        <color rgb="FFFF555A"/>
      </dataBar>
      <extLst>
        <ext xmlns:x14="http://schemas.microsoft.com/office/spreadsheetml/2009/9/main" uri="{B025F937-C7B1-47D3-B67F-A62EFF666E3E}">
          <x14:id>{5A86895A-8A4F-4F64-BA95-E8B5BE752CF1}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38D6EE9-148D-4437-B4C6-9AF4EC256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B4:B9</xm:sqref>
        </x14:conditionalFormatting>
        <x14:conditionalFormatting xmlns:xm="http://schemas.microsoft.com/office/excel/2006/main" pivot="1">
          <x14:cfRule type="dataBar" id="{5A86895A-8A4F-4F64-BA95-E8B5BE752CF1}">
            <x14:dataBar minLength="0" maxLength="100" border="1" negativeBarBorderColorSameAsPositive="0">
              <x14:cfvo type="autoMin"/>
              <x14:cfvo type="num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0FBC-AF99-430B-AC27-EB407B3D3F17}">
  <dimension ref="A3:C11"/>
  <sheetViews>
    <sheetView workbookViewId="0">
      <selection activeCell="A11" sqref="A11"/>
    </sheetView>
  </sheetViews>
  <sheetFormatPr defaultRowHeight="15"/>
  <cols>
    <col min="1" max="1" width="13.42578125" bestFit="1" customWidth="1"/>
    <col min="2" max="2" width="36" bestFit="1" customWidth="1"/>
    <col min="3" max="3" width="37.7109375" bestFit="1" customWidth="1"/>
    <col min="4" max="4" width="7" bestFit="1" customWidth="1"/>
    <col min="5" max="5" width="7.28515625" bestFit="1" customWidth="1"/>
    <col min="6" max="8" width="12" bestFit="1" customWidth="1"/>
    <col min="9" max="9" width="37.7109375" bestFit="1" customWidth="1"/>
    <col min="10" max="10" width="6.5703125" bestFit="1" customWidth="1"/>
    <col min="11" max="11" width="7" bestFit="1" customWidth="1"/>
    <col min="12" max="12" width="7.28515625" bestFit="1" customWidth="1"/>
    <col min="13" max="15" width="12" bestFit="1" customWidth="1"/>
    <col min="16" max="16" width="41" bestFit="1" customWidth="1"/>
    <col min="17" max="17" width="42.85546875" bestFit="1" customWidth="1"/>
  </cols>
  <sheetData>
    <row r="3" spans="1:3">
      <c r="A3" s="131" t="s">
        <v>48</v>
      </c>
      <c r="B3" t="s">
        <v>51</v>
      </c>
      <c r="C3" t="s">
        <v>52</v>
      </c>
    </row>
    <row r="4" spans="1:3">
      <c r="A4" s="135" t="s">
        <v>53</v>
      </c>
    </row>
    <row r="5" spans="1:3">
      <c r="A5" s="135" t="s">
        <v>54</v>
      </c>
      <c r="B5">
        <v>100</v>
      </c>
      <c r="C5">
        <v>0</v>
      </c>
    </row>
    <row r="6" spans="1:3">
      <c r="A6" s="135" t="s">
        <v>55</v>
      </c>
      <c r="B6">
        <v>100</v>
      </c>
      <c r="C6">
        <v>0</v>
      </c>
    </row>
    <row r="7" spans="1:3">
      <c r="A7" s="135" t="s">
        <v>56</v>
      </c>
      <c r="B7">
        <v>20</v>
      </c>
      <c r="C7">
        <v>0</v>
      </c>
    </row>
    <row r="8" spans="1:3">
      <c r="A8" s="135" t="s">
        <v>57</v>
      </c>
      <c r="B8">
        <v>32.142857142857146</v>
      </c>
      <c r="C8">
        <v>1.1904761904761905</v>
      </c>
    </row>
    <row r="9" spans="1:3">
      <c r="A9" s="135" t="s">
        <v>58</v>
      </c>
      <c r="B9">
        <v>52.38095238095238</v>
      </c>
      <c r="C9">
        <v>3.1746031746031744</v>
      </c>
    </row>
    <row r="10" spans="1:3">
      <c r="A10" s="135" t="s">
        <v>59</v>
      </c>
      <c r="B10">
        <v>45</v>
      </c>
      <c r="C10">
        <v>7.7380952380952364</v>
      </c>
    </row>
    <row r="11" spans="1:3">
      <c r="A11" s="135" t="s">
        <v>50</v>
      </c>
      <c r="B11">
        <v>55.108225108225113</v>
      </c>
      <c r="C11">
        <v>3.4632034632034632</v>
      </c>
    </row>
  </sheetData>
  <conditionalFormatting pivot="1" sqref="B6 B5 B7 B8 B9 B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{A2047EBD-1A48-438E-A830-4DA774C33141}</x14:id>
        </ext>
      </extLst>
    </cfRule>
  </conditionalFormatting>
  <conditionalFormatting pivot="1" sqref="C5 C6 C7 C8 C9 C10">
    <cfRule type="dataBar" priority="1">
      <dataBar>
        <cfvo type="min"/>
        <cfvo type="num" val="100"/>
        <color rgb="FFFF555A"/>
      </dataBar>
      <extLst>
        <ext xmlns:x14="http://schemas.microsoft.com/office/spreadsheetml/2009/9/main" uri="{B025F937-C7B1-47D3-B67F-A62EFF666E3E}">
          <x14:id>{2BAAA5BF-4CE1-4F93-8D6D-87F551054ABB}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2047EBD-1A48-438E-A830-4DA774C33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 B5 B7 B8 B9 B10</xm:sqref>
        </x14:conditionalFormatting>
        <x14:conditionalFormatting xmlns:xm="http://schemas.microsoft.com/office/excel/2006/main" pivot="1">
          <x14:cfRule type="dataBar" id="{2BAAA5BF-4CE1-4F93-8D6D-87F551054ABB}">
            <x14:dataBar minLength="0" maxLength="100" border="1" negativeBarBorderColorSameAsPositive="0">
              <x14:cfvo type="autoMin"/>
              <x14:cfvo type="num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C5 C6 C7 C8 C9 C10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original_copy-paste_sample</vt:lpstr>
      <vt:lpstr>reformat</vt:lpstr>
      <vt:lpstr>pivot_type</vt:lpstr>
      <vt:lpstr>pivot_time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</dc:creator>
  <cp:lastModifiedBy>Elise O.H.</cp:lastModifiedBy>
  <dcterms:created xsi:type="dcterms:W3CDTF">2025-11-08T02:20:06Z</dcterms:created>
  <dcterms:modified xsi:type="dcterms:W3CDTF">2025-12-01T11:41:03Z</dcterms:modified>
</cp:coreProperties>
</file>